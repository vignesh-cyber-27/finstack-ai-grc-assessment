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Risk Register" sheetId="2" state="visible" r:id="rId4"/>
    <sheet name="Heat Map" sheetId="3" state="visible" r:id="rId5"/>
    <sheet name="DPDP Gap Analysis" sheetId="4" state="visible" r:id="rId6"/>
    <sheet name="Vendor Risk Assessment" sheetId="5" state="visible" r:id="rId7"/>
    <sheet name="AI Control Audit Checklis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<sst xmlns="http://schemas.openxmlformats.org/spreadsheetml/2006/main" count="319" uniqueCount="268">
  <si>
    <t xml:space="preserve">Finstack Technologies - AI Governance &amp; DPDP Compliance Assessment</t>
  </si>
  <si>
    <t xml:space="preserve">GRC portfolio project (fictional company). Prepared by: Vignesh S</t>
  </si>
  <si>
    <t xml:space="preserve">Scenario</t>
  </si>
  <si>
    <t xml:space="preserve">Finstack is a Bengaluru Banking-as-a-Service platform serving 40+ neobanks. It is launching an AI fraud-detection model and an LLM-based support copilot. This assessment covers the AI systems only.</t>
  </si>
  <si>
    <t xml:space="preserve">In scope</t>
  </si>
  <si>
    <t xml:space="preserve">Data flows into and out of the AI systems; explainability of fraud decisions; DPDP compliance for retail customer data; third-party (LLM vendor) risk; bias risk.</t>
  </si>
  <si>
    <t xml:space="preserve">Out of scope</t>
  </si>
  <si>
    <t xml:space="preserve">Company-wide ISO 27001 programme, HR and physical security, non-AI parts of the platform.</t>
  </si>
  <si>
    <t xml:space="preserve">Method</t>
  </si>
  <si>
    <t xml:space="preserve">Risk: Likelihood (1-5) x Impact (1-5), scored before controls (inherent) and after controls (residual). Compliance: each DPDP requirement rated Compliant / Partial / Non-compliant with evidence-based findings.</t>
  </si>
  <si>
    <t xml:space="preserve">Live summary</t>
  </si>
  <si>
    <t xml:space="preserve">Risks assessed</t>
  </si>
  <si>
    <t xml:space="preserve">High-rated risks (inherent)</t>
  </si>
  <si>
    <t xml:space="preserve">High-rated risks (residual)</t>
  </si>
  <si>
    <t xml:space="preserve">Average score before controls</t>
  </si>
  <si>
    <t xml:space="preserve">Average score after controls</t>
  </si>
  <si>
    <t xml:space="preserve">DPDP requirements assessed</t>
  </si>
  <si>
    <t xml:space="preserve">Non-compliant requirements</t>
  </si>
  <si>
    <t xml:space="preserve">Tabs</t>
  </si>
  <si>
    <t xml:space="preserve">Risk Register</t>
  </si>
  <si>
    <t xml:space="preserve">6 AI risks with inherent score, control, residual score and scoring rationale.</t>
  </si>
  <si>
    <t xml:space="preserve">Heat Map</t>
  </si>
  <si>
    <t xml:space="preserve">5x5 grids showing where the risks sit before and after controls.</t>
  </si>
  <si>
    <t xml:space="preserve">DPDP Gap Analysis</t>
  </si>
  <si>
    <t xml:space="preserve">6 DPDP requirements rated with findings and recommendations.</t>
  </si>
  <si>
    <t xml:space="preserve">Legend</t>
  </si>
  <si>
    <t xml:space="preserve">Blue text</t>
  </si>
  <si>
    <t xml:space="preserve">Inputs and judgments you can change (scores, ratings).</t>
  </si>
  <si>
    <t xml:space="preserve">Yellow fill</t>
  </si>
  <si>
    <t xml:space="preserve">Threshold cells that define High / Medium / Low.</t>
  </si>
  <si>
    <t xml:space="preserve">Black text</t>
  </si>
  <si>
    <t xml:space="preserve">Formulas - do not overwrite.</t>
  </si>
  <si>
    <t xml:space="preserve">Finstack Technologies - AI Risk Register (Likelihood x Impact)</t>
  </si>
  <si>
    <t xml:space="preserve">High if score &gt;=</t>
  </si>
  <si>
    <t xml:space="preserve">Medium if score &gt;=</t>
  </si>
  <si>
    <t xml:space="preserve">&lt;- yellow cells are editable thresholds; anything below Medium is Low</t>
  </si>
  <si>
    <t xml:space="preserve">ID</t>
  </si>
  <si>
    <t xml:space="preserve">Risk</t>
  </si>
  <si>
    <t xml:space="preserve">Category</t>
  </si>
  <si>
    <t xml:space="preserve">Inherent Likelihood (1-5)</t>
  </si>
  <si>
    <t xml:space="preserve">Inherent Impact (1-5)</t>
  </si>
  <si>
    <t xml:space="preserve">Inherent Score</t>
  </si>
  <si>
    <t xml:space="preserve">Inherent Rating</t>
  </si>
  <si>
    <t xml:space="preserve">Scoring rationale</t>
  </si>
  <si>
    <t xml:space="preserve">Control proposed</t>
  </si>
  <si>
    <t xml:space="preserve">Residual Likelihood (1-5)</t>
  </si>
  <si>
    <t xml:space="preserve">Residual Impact (1-5)</t>
  </si>
  <si>
    <t xml:space="preserve">Residual Score</t>
  </si>
  <si>
    <t xml:space="preserve">Residual Rating</t>
  </si>
  <si>
    <t xml:space="preserve">Score Reduction</t>
  </si>
  <si>
    <t xml:space="preserve">R1</t>
  </si>
  <si>
    <t xml:space="preserve">Fraud model wrongly blocks a legitimate transaction and Finstack cannot explain why</t>
  </si>
  <si>
    <t xml:space="preserve">AI explainability</t>
  </si>
  <si>
    <t xml:space="preserve">Fraud models produce false positives regularly. Impact covers customer trust AND regulatory exposure if a regulator or client asks 'why was this blocked?' and there is no answer.</t>
  </si>
  <si>
    <t xml:space="preserve">Add an explainability layer: log the top 3 factors behind every block so any decision can be justified on demand.</t>
  </si>
  <si>
    <t xml:space="preserve">R2</t>
  </si>
  <si>
    <t xml:space="preserve">Support agent at a client neobank pastes a customer's transaction history into a public AI tool (shadow AI)</t>
  </si>
  <si>
    <t xml:space="preserve">Shadow AI / data leakage</t>
  </si>
  <si>
    <t xml:space="preserve">Agents do this often when untrained and no approved tool exists. Data leaves company control, which is a DPDP breach.</t>
  </si>
  <si>
    <t xml:space="preserve">Block public AI tools on company devices; provide an approved internal AI tool.</t>
  </si>
  <si>
    <t xml:space="preserve">R3</t>
  </si>
  <si>
    <t xml:space="preserve">B2B neobank client sends a security questionnaire asking for AI governance documents and Finstack has none</t>
  </si>
  <si>
    <t xml:space="preserve">Vendor / client assurance</t>
  </si>
  <si>
    <t xml:space="preserve">Questionnaires are routine in B2B onboarding. A BaaS business depends on its 40+ client contracts, so a stalled deal is real revenue loss.</t>
  </si>
  <si>
    <t xml:space="preserve">Maintain a standing AI governance documentation pack, reviewed quarterly, ready to hand over.</t>
  </si>
  <si>
    <t xml:space="preserve">R4</t>
  </si>
  <si>
    <t xml:space="preserve">Third-party LLM API provider suffers a breach exposing Finstack customer queries</t>
  </si>
  <si>
    <t xml:space="preserve">Third-party risk</t>
  </si>
  <si>
    <t xml:space="preserve">Major providers invest heavily in security so this is possible but not routine. Finstack stays accountable to customers and clients for data it sent to the vendor.</t>
  </si>
  <si>
    <t xml:space="preserve">Contract terms: vendor encrypts data in transit and at rest and notifies Finstack within 24 hours of any breach.</t>
  </si>
  <si>
    <t xml:space="preserve">R5</t>
  </si>
  <si>
    <t xml:space="preserve">Fraud model disproportionately flags a specific region or user segment (bias)</t>
  </si>
  <si>
    <t xml:space="preserve">AI fairness</t>
  </si>
  <si>
    <t xml:space="preserve">Bias is a well-documented ML failure when training data under-represents groups, and is usually found only when someone audits for it.</t>
  </si>
  <si>
    <t xml:space="preserve">Run quarterly bias audits on flagging patterns across regions and segments.</t>
  </si>
  <si>
    <t xml:space="preserve">R6</t>
  </si>
  <si>
    <t xml:space="preserve">Customer data used to train or fine-tune the fraud model without consent that covers AI processing</t>
  </si>
  <si>
    <t xml:space="preserve">DPDP consent</t>
  </si>
  <si>
    <t xml:space="preserve">Most consent wording pre-dates AI use cases, so the gap is common. Consent scope is an explicit DPDP requirement, so this is a formal violation, not just optics.</t>
  </si>
  <si>
    <t xml:space="preserve">Use anonymized or synthetic data for training; update consent language for any AI use that needs real data.</t>
  </si>
  <si>
    <t xml:space="preserve">Average score</t>
  </si>
  <si>
    <t xml:space="preserve">Note: scores are analyst judgment for a fictional company. Each score should be defensible in one sentence (see Scoring rationale). Blue = inputs you can change; black = formulas.</t>
  </si>
  <si>
    <t xml:space="preserve">5x5 Risk Heat Maps (number of risks in each cell)</t>
  </si>
  <si>
    <t xml:space="preserve">Left = inherent (before controls). Right = residual (after controls). Counts update from the Risk Register.</t>
  </si>
  <si>
    <t xml:space="preserve">Inherent risk</t>
  </si>
  <si>
    <t xml:space="preserve">Residual risk</t>
  </si>
  <si>
    <t xml:space="preserve">IMPACT</t>
  </si>
  <si>
    <t xml:space="preserve">LIKELIHOOD</t>
  </si>
  <si>
    <t xml:space="preserve">Cell colour is fixed by Likelihood x Impact: red = 15 or more, amber = 8 to 14, green = under 8 (matches the default thresholds).</t>
  </si>
  <si>
    <t xml:space="preserve">Finstack Technologies - DPDP Act Gap Analysis (AI fraud model + support copilot)</t>
  </si>
  <si>
    <t xml:space="preserve">Rating: Compliant / Partial / Non-compliant. Judgments are based on the fictional scenario facts.</t>
  </si>
  <si>
    <t xml:space="preserve">#</t>
  </si>
  <si>
    <t xml:space="preserve">DPDP requirement</t>
  </si>
  <si>
    <t xml:space="preserve">Plain-language rule</t>
  </si>
  <si>
    <t xml:space="preserve">Finding</t>
  </si>
  <si>
    <t xml:space="preserve">Rating</t>
  </si>
  <si>
    <t xml:space="preserve">Risk level</t>
  </si>
  <si>
    <t xml:space="preserve">Recommendation</t>
  </si>
  <si>
    <t xml:space="preserve">Owner</t>
  </si>
  <si>
    <t xml:space="preserve">Target (days)</t>
  </si>
  <si>
    <t xml:space="preserve">Consent</t>
  </si>
  <si>
    <t xml:space="preserve">Get clear, specific consent before using personal data; customers can withdraw it.</t>
  </si>
  <si>
    <t xml:space="preserve">Existing consent wording is generic and pre-dates the AI use case. It does not explicitly cover AI-based processing (fraud detection, AI support queries).</t>
  </si>
  <si>
    <t xml:space="preserve">Partial</t>
  </si>
  <si>
    <t xml:space="preserve">Medium-High</t>
  </si>
  <si>
    <t xml:space="preserve">Update consent language and privacy notice to disclose AI processing explicitly. Consider a re-consent campaign for existing customers.</t>
  </si>
  <si>
    <t xml:space="preserve">Legal + Product</t>
  </si>
  <si>
    <t xml:space="preserve">Data minimization</t>
  </si>
  <si>
    <t xml:space="preserve">Use only the personal data that is necessary for the stated purpose.</t>
  </si>
  <si>
    <t xml:space="preserve">The support tool retrieves a customer's full transaction history and account details on every query, whatever the query needs.</t>
  </si>
  <si>
    <t xml:space="preserve">Non-compliant</t>
  </si>
  <si>
    <t xml:space="preserve">High</t>
  </si>
  <si>
    <t xml:space="preserve">Retrieve only the specific fields the query needs, and log what was accessed and why.</t>
  </si>
  <si>
    <t xml:space="preserve">Engineering + Product</t>
  </si>
  <si>
    <t xml:space="preserve">Breach notification</t>
  </si>
  <si>
    <t xml:space="preserve">Tell the Data Protection Board and affected customers about a breach; detailed report within 72 hours (Rules 2025).</t>
  </si>
  <si>
    <t xml:space="preserve">No documented process to detect, assess and report a breach, including one that starts at the LLM vendor. The 72-hour clock runs from when Finstack becomes aware.</t>
  </si>
  <si>
    <t xml:space="preserve">1) Name a breach response owner. 2) Write a breach response plan (severity assessment, who notifies Board and customers). 3) Contractually require the LLM vendor to notify Finstack within 24 hours.</t>
  </si>
  <si>
    <t xml:space="preserve">Security + Legal</t>
  </si>
  <si>
    <t xml:space="preserve">Data principal rights</t>
  </si>
  <si>
    <t xml:space="preserve">Customers can access, correct and erase their data and raise grievances.</t>
  </si>
  <si>
    <t xml:space="preserve">A request process exists for normal account data, but it does not cover data in AI chat logs or data used for model training.</t>
  </si>
  <si>
    <t xml:space="preserve">Extend the process to AI logs with a fixed retention period. Use anonymized training data (see R6) so erasure requests do not touch the model.</t>
  </si>
  <si>
    <t xml:space="preserve">Legal + Engineering</t>
  </si>
  <si>
    <t xml:space="preserve">Security safeguards</t>
  </si>
  <si>
    <t xml:space="preserve">Protect personal data with reasonable controls such as access control, encryption and logging.</t>
  </si>
  <si>
    <t xml:space="preserve">Any agent at any client bank can look up any customer's data. There is no check that the customer belongs to the agent's bank and lookups are not logged.</t>
  </si>
  <si>
    <t xml:space="preserve">1) Enforce bank-level data isolation. 2) Log every lookup (agent, customer, time). 3) Confirm encryption at rest and in transit. 4) Train agents on the access rules (weakest control, so last).</t>
  </si>
  <si>
    <t xml:space="preserve">Engineering + Security</t>
  </si>
  <si>
    <t xml:space="preserve">Cross-border transfer</t>
  </si>
  <si>
    <t xml:space="preserve">Transfers outside India are allowed unless the country is blocked, but sector rules can be stricter (RBI: payment data stored in India).</t>
  </si>
  <si>
    <t xml:space="preserve">Customer queries go to a third-party LLM API and Finstack has not confirmed where the vendor processes or stores the data.</t>
  </si>
  <si>
    <t xml:space="preserve">Get the vendor's data location in writing. Use an India-hosted region or an on-premise model for payment data. Add data-location terms to the contract.</t>
  </si>
  <si>
    <t xml:space="preserve">Legal + Security</t>
  </si>
  <si>
    <t xml:space="preserve">Summary</t>
  </si>
  <si>
    <t xml:space="preserve">Compliant</t>
  </si>
  <si>
    <t xml:space="preserve">Total requirements assessed</t>
  </si>
  <si>
    <t xml:space="preserve">Note: legal references (DPDP Act 2023, DPDP Rules 2025, RBI data localisation) are summarised in plain language. Verify against the official text before publishing this work.</t>
  </si>
  <si>
    <t xml:space="preserve">Finstack Technologies - LLM Vendor Risk Assessment</t>
  </si>
  <si>
    <t xml:space="preserve">Vendor A = established provider (mock). Vendor B = low-cost startup (mock). Ratings show how Finstack should judge each answer.</t>
  </si>
  <si>
    <t xml:space="preserve">Question</t>
  </si>
  <si>
    <t xml:space="preserve">Vendor A answer</t>
  </si>
  <si>
    <t xml:space="preserve">Vendor B answer</t>
  </si>
  <si>
    <t xml:space="preserve">Vendor A rating</t>
  </si>
  <si>
    <t xml:space="preserve">Vendor B rating</t>
  </si>
  <si>
    <t xml:space="preserve">Notes</t>
  </si>
  <si>
    <t xml:space="preserve">Data location</t>
  </si>
  <si>
    <t xml:space="preserve">In which country and cloud region is our data processed and stored?</t>
  </si>
  <si>
    <t xml:space="preserve">India (Mumbai region) for this contract, confirmed in writing.</t>
  </si>
  <si>
    <t xml:space="preserve">Not specified; "multiple global regions."</t>
  </si>
  <si>
    <t xml:space="preserve">RBI requires payment data stored in India. Vendor B's answer cannot confirm this.</t>
  </si>
  <si>
    <t xml:space="preserve">Encryption</t>
  </si>
  <si>
    <t xml:space="preserve">Do you encrypt data at rest and in transit? Which standards?</t>
  </si>
  <si>
    <t xml:space="preserve">AES-256 at rest, TLS 1.3 in transit. SOC 2 report available.</t>
  </si>
  <si>
    <t xml:space="preserve">"We use standard security practices."</t>
  </si>
  <si>
    <t xml:space="preserve">Vendor B gives no verifiable standard.</t>
  </si>
  <si>
    <t xml:space="preserve">Access control</t>
  </si>
  <si>
    <t xml:space="preserve">Which of your staff can access our data, and how is that access controlled?</t>
  </si>
  <si>
    <t xml:space="preserve">Role-based access, logged, reviewed quarterly. Named list available on request.</t>
  </si>
  <si>
    <t xml:space="preserve">"Only authorised employees."</t>
  </si>
  <si>
    <t xml:space="preserve">Vendor B does not describe a control, only a claim.</t>
  </si>
  <si>
    <t xml:space="preserve">Employee vetting</t>
  </si>
  <si>
    <t xml:space="preserve">Are staff with data access background-checked?</t>
  </si>
  <si>
    <t xml:space="preserve">Yes, background checks and signed confidentiality agreements for all staff with data access.</t>
  </si>
  <si>
    <t xml:space="preserve">Not mentioned.</t>
  </si>
  <si>
    <t xml:space="preserve">No answer is treated as a gap, not assumed yes.</t>
  </si>
  <si>
    <t xml:space="preserve">Breach notification time</t>
  </si>
  <si>
    <t xml:space="preserve">Within how many hours of discovering a breach will you notify Finstack?</t>
  </si>
  <si>
    <t xml:space="preserve">Within 24 hours, per Data Processing Agreement.</t>
  </si>
  <si>
    <t xml:space="preserve">"As soon as possible."</t>
  </si>
  <si>
    <t xml:space="preserve">Finstack's own DPDP deadline is 72 hours to the Board, so a vendor with no committed number puts that deadline at risk.</t>
  </si>
  <si>
    <t xml:space="preserve">Breach notification content</t>
  </si>
  <si>
    <t xml:space="preserve">What will your breach notice include?</t>
  </si>
  <si>
    <t xml:space="preserve">Nature of breach, data categories and approx. record count affected, containment steps, named contact.</t>
  </si>
  <si>
    <t xml:space="preserve">"We will let you know what happened."</t>
  </si>
  <si>
    <t xml:space="preserve">Vague content cannot support Finstack's own report to the Board.</t>
  </si>
  <si>
    <t xml:space="preserve">Sub-processors</t>
  </si>
  <si>
    <t xml:space="preserve">Do you use any sub-processors (other companies) to handle our data? Who are they?</t>
  </si>
  <si>
    <t xml:space="preserve">Yes, one cloud host, named, with an equivalent security contract in place.</t>
  </si>
  <si>
    <t xml:space="preserve">"We may use third-party infrastructure providers."</t>
  </si>
  <si>
    <t xml:space="preserve">Unnamed sub-processors mean Finstack cannot assess their risk either.</t>
  </si>
  <si>
    <t xml:space="preserve">Model training on our data</t>
  </si>
  <si>
    <t xml:space="preserve">Will our data be used to train or improve your models?</t>
  </si>
  <si>
    <t xml:space="preserve">No. Contractually excluded; data used only to serve our requests.</t>
  </si>
  <si>
    <t xml:space="preserve">"Data may be used to improve our services."</t>
  </si>
  <si>
    <t xml:space="preserve">Directly relevant to R6 and the DPDP consent gap - Vendor B's answer means Finstack cannot give this consent honestly.</t>
  </si>
  <si>
    <t xml:space="preserve">Certifications</t>
  </si>
  <si>
    <t xml:space="preserve">What independent security certifications do you hold?</t>
  </si>
  <si>
    <t xml:space="preserve">SOC 2 Type II, ISO 27001.</t>
  </si>
  <si>
    <t xml:space="preserve">None currently; "in progress."</t>
  </si>
  <si>
    <t xml:space="preserve">Certifications are third-party proof, not self-reported.</t>
  </si>
  <si>
    <t xml:space="preserve">Data deletion</t>
  </si>
  <si>
    <t xml:space="preserve">What happens to our data when the contract ends?</t>
  </si>
  <si>
    <t xml:space="preserve">Deleted within 30 days, deletion certificate provided.</t>
  </si>
  <si>
    <t xml:space="preserve">Not specified.</t>
  </si>
  <si>
    <t xml:space="preserve">No stated deletion process is itself a DPDP data-minimization gap.</t>
  </si>
  <si>
    <t xml:space="preserve">Audit rights</t>
  </si>
  <si>
    <t xml:space="preserve">Can Finstack audit your security controls, or request a third-party audit report?</t>
  </si>
  <si>
    <t xml:space="preserve">Yes, annual audit right in contract, SOC 2 report shared on request.</t>
  </si>
  <si>
    <t xml:space="preserve">"Contact us to discuss."</t>
  </si>
  <si>
    <t xml:space="preserve">Vendor B leaves this open-ended rather than contractual.</t>
  </si>
  <si>
    <t xml:space="preserve">Business continuity</t>
  </si>
  <si>
    <t xml:space="preserve">What is your uptime guarantee and disaster recovery plan?</t>
  </si>
  <si>
    <t xml:space="preserve">99.9% SLA, documented DR plan, tested twice yearly.</t>
  </si>
  <si>
    <t xml:space="preserve">"We aim for high availability."</t>
  </si>
  <si>
    <t xml:space="preserve">No SLA means no enforceable commitment.</t>
  </si>
  <si>
    <t xml:space="preserve">Incident history</t>
  </si>
  <si>
    <t xml:space="preserve">Have you had any security incidents or breaches in the last 3 years? What happened?</t>
  </si>
  <si>
    <t xml:space="preserve">One minor incident (details provided), fully remediated, disclosed proactively.</t>
  </si>
  <si>
    <t xml:space="preserve">"No comment."</t>
  </si>
  <si>
    <t xml:space="preserve">Refusing to answer is itself a red flag, not a neutral non-answer.</t>
  </si>
  <si>
    <t xml:space="preserve">Vendor A - Compliant answers</t>
  </si>
  <si>
    <t xml:space="preserve">Vendor B - Compliant answers</t>
  </si>
  <si>
    <t xml:space="preserve">Vendor B - Non-compliant answers</t>
  </si>
  <si>
    <t xml:space="preserve">Select Vendor A. Vendor A gave specific, verifiable answers backed by certifications (SOC 2, ISO 27001) and named commitments (24-hour breach notice, India data residency, no training on Finstack data). Vendor B's answers were vague, unverifiable, or missing on the questions that matter most: breach notification time, data location, and use of Finstack data for model training. Given Finstack's own DPDP and RBI obligations, Vendor B's gaps would become Finstack's own compliance gaps. If cost pressure favors Vendor B, it should only proceed after Vendor B commits in writing to the specific terms Vendor A already offers.</t>
  </si>
  <si>
    <t xml:space="preserve">Finstack Technologies - AI Control Audit Checklist</t>
  </si>
  <si>
    <t xml:space="preserve">One check per major policy rule. Use the Result column to record Pass / Fail when actually performed.</t>
  </si>
  <si>
    <t xml:space="preserve">Policy rule checked</t>
  </si>
  <si>
    <t xml:space="preserve">How to check</t>
  </si>
  <si>
    <t xml:space="preserve">Pass condition</t>
  </si>
  <si>
    <t xml:space="preserve">Fail condition</t>
  </si>
  <si>
    <t xml:space="preserve">Result (fill in when run)</t>
  </si>
  <si>
    <t xml:space="preserve">Policy 3.5</t>
  </si>
  <si>
    <t xml:space="preserve">Agents can only see their own bank's customers, and every lookup is logged.</t>
  </si>
  <si>
    <t xml:space="preserve">Ask engineering to log in as a test agent and (1) look up a customer from their own bank, (2) attempt to look up a customer from a different bank. Pull today's lookup log and check it against what was demonstrated.</t>
  </si>
  <si>
    <t xml:space="preserve">Own-bank lookup succeeds, other-bank lookup is blocked, and both attempts appear in the log with agent, customer, and timestamp.</t>
  </si>
  <si>
    <t xml:space="preserve">Other-bank lookup succeeds, or either attempt is missing from the log.</t>
  </si>
  <si>
    <t xml:space="preserve">Not yet tested</t>
  </si>
  <si>
    <t xml:space="preserve">Policy 3.6</t>
  </si>
  <si>
    <t xml:space="preserve">Real customer data is not used to train or fine-tune the model.</t>
  </si>
  <si>
    <t xml:space="preserve">1) Ask engineering for a sample of the training dataset and check for real names, account numbers, or transactions. 2) Query the live model by naming a real customer and asking for their details, without supplying that data.</t>
  </si>
  <si>
    <t xml:space="preserve">Training data contains no real identifiers, and the model cannot correctly produce real customer details it was not given.</t>
  </si>
  <si>
    <t xml:space="preserve">Training data contains real customer data, or the model correctly recalls real details from memory.</t>
  </si>
  <si>
    <t xml:space="preserve">Policy 3.7</t>
  </si>
  <si>
    <t xml:space="preserve">AI chat logs are deleted after the stated retention period.</t>
  </si>
  <si>
    <t xml:space="preserve">Ask for chat logs older than the retention period (e.g. 90 days) and check whether they still exist.</t>
  </si>
  <si>
    <t xml:space="preserve">No logs older than the limit exist.</t>
  </si>
  <si>
    <t xml:space="preserve">Old logs are still present.</t>
  </si>
  <si>
    <t xml:space="preserve">Policy 4.1</t>
  </si>
  <si>
    <t xml:space="preserve">Every fraud model block is logged with reasons, timestamp, and model version.</t>
  </si>
  <si>
    <t xml:space="preserve">Pull 5 recent blocked transactions and check each has a logged reason, timestamp, and model version.</t>
  </si>
  <si>
    <t xml:space="preserve">All 5 have complete records.</t>
  </si>
  <si>
    <t xml:space="preserve">Any of the 5 are missing required fields.</t>
  </si>
  <si>
    <t xml:space="preserve">Policy 4.2</t>
  </si>
  <si>
    <t xml:space="preserve">Disputed blocks get human review within 24 hours.</t>
  </si>
  <si>
    <t xml:space="preserve">Pick 3 recent disputed cases and check the time between the dispute and the reviewer's decision.</t>
  </si>
  <si>
    <t xml:space="preserve">All 3 reviewed within 24 hours.</t>
  </si>
  <si>
    <t xml:space="preserve">Any took longer than 24 hours.</t>
  </si>
  <si>
    <t xml:space="preserve">Policy 5.2</t>
  </si>
  <si>
    <t xml:space="preserve">Vendor contract requires 24-hour breach notice, encryption, and no training on our data.</t>
  </si>
  <si>
    <t xml:space="preserve">Read the signed vendor contract and locate the breach notification, encryption, and data-use clauses.</t>
  </si>
  <si>
    <t xml:space="preserve">Contract states 24-hour (or less) breach notice, encryption at rest/in transit, and excludes Finstack data from vendor model training.</t>
  </si>
  <si>
    <t xml:space="preserve">Any clause is missing, vague, or states a longer timeframe.</t>
  </si>
  <si>
    <t xml:space="preserve">Policy 6.1</t>
  </si>
  <si>
    <t xml:space="preserve">Fraud model is tested for bias across regions/segments every quarter.</t>
  </si>
  <si>
    <t xml:space="preserve">Ask for the most recent bias audit report and check the date and findings.</t>
  </si>
  <si>
    <t xml:space="preserve">A report exists, dated within the last 3 months, with documented findings.</t>
  </si>
  <si>
    <t xml:space="preserve">No report exists, or it is older than 3 months.</t>
  </si>
  <si>
    <t xml:space="preserve">Policy 7.2 / 7.3</t>
  </si>
  <si>
    <t xml:space="preserve">Breaches are reported to the Board/customers within 72 hours; AI incidents reported internally within 24 hours.</t>
  </si>
  <si>
    <t xml:space="preserve">Ask for the incident log and check the timestamps between discovery and each notification.</t>
  </si>
  <si>
    <t xml:space="preserve">All notifications meet their respective deadlines.</t>
  </si>
  <si>
    <t xml:space="preserve">Any notification exceeded its deadline.</t>
  </si>
  <si>
    <t xml:space="preserve">Policy 8.3</t>
  </si>
  <si>
    <t xml:space="preserve">Staff and agents complete AI data-handling training before access, and annually after.</t>
  </si>
  <si>
    <t xml:space="preserve">Ask HR/IT for training completion records and compare against the current access list.</t>
  </si>
  <si>
    <t xml:space="preserve">Everyone with access has a completed training record within the last 12 months.</t>
  </si>
  <si>
    <t xml:space="preserve">Anyone with access has no record, or it is over 12 months old.</t>
  </si>
</sst>
</file>

<file path=xl/styles.xml><?xml version="1.0" encoding="utf-8"?>
<styleSheet xmlns="http://schemas.openxmlformats.org/spreadsheetml/2006/main">
  <numFmts count="4">
    <numFmt numFmtId="164" formatCode="General"/>
    <numFmt numFmtId="165" formatCode="General"/>
    <numFmt numFmtId="166" formatCode="0.0"/>
    <numFmt numFmtId="167" formatCode="0;\-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1"/>
      <color rgb="FF1F3864"/>
      <name val="Arial"/>
      <family val="0"/>
      <charset val="1"/>
    </font>
    <font>
      <sz val="10"/>
      <color rgb="FF0000FF"/>
      <name val="Arial"/>
      <family val="0"/>
      <charset val="1"/>
    </font>
    <font>
      <i val="true"/>
      <sz val="9"/>
      <color rgb="FF595959"/>
      <name val="Arial"/>
      <family val="0"/>
      <charset val="1"/>
    </font>
    <font>
      <b val="true"/>
      <sz val="10"/>
      <color rgb="FFFFFFFF"/>
      <name val="Arial"/>
      <family val="0"/>
      <charset val="1"/>
    </font>
    <font>
      <b val="true"/>
      <sz val="12"/>
      <name val="Arial"/>
      <family val="0"/>
      <charset val="1"/>
    </font>
  </fonts>
  <fills count="8">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F2F2F2"/>
        <bgColor rgb="FFFFFFFF"/>
      </patternFill>
    </fill>
    <fill>
      <patternFill patternType="solid">
        <fgColor rgb="FFC6E0B4"/>
        <bgColor rgb="FFBFBFBF"/>
      </patternFill>
    </fill>
    <fill>
      <patternFill patternType="solid">
        <fgColor rgb="FFFFE699"/>
        <bgColor rgb="FFF2F2F2"/>
      </patternFill>
    </fill>
    <fill>
      <patternFill patternType="solid">
        <fgColor rgb="FFF4B6B6"/>
        <bgColor rgb="FFFF99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left" vertical="bottom" textRotation="0" wrapText="false" indent="0" shrinkToFit="false"/>
      <protection locked="true" hidden="false"/>
    </xf>
    <xf numFmtId="166" fontId="7"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6" fontId="6" fillId="0" borderId="0" xfId="0" applyFont="true" applyBorder="fals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7" fontId="12" fillId="5" borderId="1" xfId="0" applyFont="true" applyBorder="true" applyAlignment="true" applyProtection="false">
      <alignment horizontal="center" vertical="center" textRotation="0" wrapText="true" indent="0" shrinkToFit="false"/>
      <protection locked="true" hidden="false"/>
    </xf>
    <xf numFmtId="167" fontId="12" fillId="6" borderId="1" xfId="0" applyFont="true" applyBorder="true" applyAlignment="true" applyProtection="false">
      <alignment horizontal="center" vertical="center" textRotation="0" wrapText="true" indent="0" shrinkToFit="false"/>
      <protection locked="true" hidden="false"/>
    </xf>
    <xf numFmtId="167" fontId="12" fillId="7" borderId="1" xfId="0" applyFont="true" applyBorder="true" applyAlignment="true" applyProtection="false">
      <alignment horizontal="center" vertical="center" textRotation="0" wrapText="tru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F4B6B6"/>
        </patternFill>
      </fill>
    </dxf>
    <dxf>
      <fill>
        <patternFill>
          <bgColor rgb="FFFFE699"/>
        </patternFill>
      </fill>
    </dxf>
    <dxf>
      <fill>
        <patternFill>
          <bgColor rgb="FFC6E0B4"/>
        </patternFill>
      </fill>
    </dxf>
    <dxf>
      <fill>
        <patternFill>
          <bgColor rgb="FFC6E0B4"/>
        </patternFill>
      </fill>
    </dxf>
    <dxf>
      <fill>
        <patternFill>
          <bgColor rgb="FFF4B6B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4B6B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0"/>
  </cols>
  <sheetData>
    <row r="1" customFormat="false" ht="17.25" hidden="false" customHeight="true" outlineLevel="0" collapsed="false">
      <c r="A1" s="2" t="s">
        <v>0</v>
      </c>
    </row>
    <row r="2" customFormat="false" ht="15" hidden="false" customHeight="true" outlineLevel="0" collapsed="false">
      <c r="A2" s="3" t="s">
        <v>1</v>
      </c>
    </row>
    <row r="4" customFormat="false" ht="48" hidden="false" customHeight="true" outlineLevel="0" collapsed="false">
      <c r="A4" s="4" t="s">
        <v>2</v>
      </c>
      <c r="B4" s="5" t="s">
        <v>3</v>
      </c>
    </row>
    <row r="5" customFormat="false" ht="48" hidden="false" customHeight="true" outlineLevel="0" collapsed="false">
      <c r="A5" s="4" t="s">
        <v>4</v>
      </c>
      <c r="B5" s="5" t="s">
        <v>5</v>
      </c>
    </row>
    <row r="6" customFormat="false" ht="48" hidden="false" customHeight="true" outlineLevel="0" collapsed="false">
      <c r="A6" s="4" t="s">
        <v>6</v>
      </c>
      <c r="B6" s="5" t="s">
        <v>7</v>
      </c>
    </row>
    <row r="7" customFormat="false" ht="48" hidden="false" customHeight="true" outlineLevel="0" collapsed="false">
      <c r="A7" s="4" t="s">
        <v>8</v>
      </c>
      <c r="B7" s="5" t="s">
        <v>9</v>
      </c>
    </row>
    <row r="9" customFormat="false" ht="15" hidden="false" customHeight="true" outlineLevel="0" collapsed="false">
      <c r="A9" s="6" t="s">
        <v>10</v>
      </c>
    </row>
    <row r="10" customFormat="false" ht="15" hidden="false" customHeight="true" outlineLevel="0" collapsed="false">
      <c r="A10" s="7" t="s">
        <v>11</v>
      </c>
      <c r="B10" s="8" t="n">
        <f aca="false">COUNTA('Risk Register'!A5:A10)</f>
        <v>6</v>
      </c>
    </row>
    <row r="11" customFormat="false" ht="15" hidden="false" customHeight="true" outlineLevel="0" collapsed="false">
      <c r="A11" s="7" t="s">
        <v>12</v>
      </c>
      <c r="B11" s="8" t="n">
        <f aca="false">COUNTIF('Risk Register'!G5:G10,"High")</f>
        <v>4</v>
      </c>
    </row>
    <row r="12" customFormat="false" ht="15" hidden="false" customHeight="true" outlineLevel="0" collapsed="false">
      <c r="A12" s="7" t="s">
        <v>13</v>
      </c>
      <c r="B12" s="8" t="n">
        <f aca="false">COUNTIF('Risk Register'!M5:M10,"High")</f>
        <v>0</v>
      </c>
    </row>
    <row r="13" customFormat="false" ht="15" hidden="false" customHeight="true" outlineLevel="0" collapsed="false">
      <c r="A13" s="7" t="s">
        <v>14</v>
      </c>
      <c r="B13" s="9" t="n">
        <f aca="false">'Risk Register'!F12</f>
        <v>14.1666666666667</v>
      </c>
    </row>
    <row r="14" customFormat="false" ht="15" hidden="false" customHeight="true" outlineLevel="0" collapsed="false">
      <c r="A14" s="7" t="s">
        <v>15</v>
      </c>
      <c r="B14" s="9" t="n">
        <f aca="false">'Risk Register'!L12</f>
        <v>7.16666666666667</v>
      </c>
    </row>
    <row r="15" customFormat="false" ht="15" hidden="false" customHeight="true" outlineLevel="0" collapsed="false">
      <c r="A15" s="7" t="s">
        <v>16</v>
      </c>
      <c r="B15" s="8" t="n">
        <f aca="false">'DPDP Gap Analysis'!C16</f>
        <v>6</v>
      </c>
    </row>
    <row r="16" customFormat="false" ht="15" hidden="false" customHeight="true" outlineLevel="0" collapsed="false">
      <c r="A16" s="7" t="s">
        <v>17</v>
      </c>
      <c r="B16" s="8" t="n">
        <f aca="false">'DPDP Gap Analysis'!C15</f>
        <v>3</v>
      </c>
    </row>
    <row r="18" customFormat="false" ht="15" hidden="false" customHeight="true" outlineLevel="0" collapsed="false">
      <c r="A18" s="6" t="s">
        <v>18</v>
      </c>
    </row>
    <row r="19" customFormat="false" ht="15" hidden="false" customHeight="true" outlineLevel="0" collapsed="false">
      <c r="A19" s="4" t="s">
        <v>19</v>
      </c>
      <c r="B19" s="7" t="s">
        <v>20</v>
      </c>
    </row>
    <row r="20" customFormat="false" ht="15" hidden="false" customHeight="true" outlineLevel="0" collapsed="false">
      <c r="A20" s="4" t="s">
        <v>21</v>
      </c>
      <c r="B20" s="7" t="s">
        <v>22</v>
      </c>
    </row>
    <row r="21" customFormat="false" ht="15" hidden="false" customHeight="true" outlineLevel="0" collapsed="false">
      <c r="A21" s="4" t="s">
        <v>23</v>
      </c>
      <c r="B21" s="7" t="s">
        <v>24</v>
      </c>
    </row>
    <row r="23" customFormat="false" ht="15" hidden="false" customHeight="true" outlineLevel="0" collapsed="false">
      <c r="A23" s="6" t="s">
        <v>25</v>
      </c>
    </row>
    <row r="24" customFormat="false" ht="15" hidden="false" customHeight="true" outlineLevel="0" collapsed="false">
      <c r="A24" s="10" t="s">
        <v>26</v>
      </c>
      <c r="B24" s="7" t="s">
        <v>27</v>
      </c>
    </row>
    <row r="25" customFormat="false" ht="15" hidden="false" customHeight="true" outlineLevel="0" collapsed="false">
      <c r="A25" s="11" t="s">
        <v>28</v>
      </c>
      <c r="B25" s="7" t="s">
        <v>29</v>
      </c>
    </row>
    <row r="26" customFormat="false" ht="15" hidden="false" customHeight="true" outlineLevel="0" collapsed="false">
      <c r="A26" s="7" t="s">
        <v>30</v>
      </c>
      <c r="B26" s="7"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2"/>
    <col collapsed="false" customWidth="true" hidden="false" outlineLevel="0" max="3" min="3" style="1" width="20"/>
    <col collapsed="false" customWidth="true" hidden="false" outlineLevel="0" max="5" min="4" style="1" width="12"/>
    <col collapsed="false" customWidth="true" hidden="false" outlineLevel="0" max="6" min="6" style="1" width="10"/>
    <col collapsed="false" customWidth="true" hidden="false" outlineLevel="0" max="7" min="7" style="1" width="11"/>
    <col collapsed="false" customWidth="true" hidden="false" outlineLevel="0" max="8" min="8" style="1" width="48"/>
    <col collapsed="false" customWidth="true" hidden="false" outlineLevel="0" max="9" min="9" style="1" width="44"/>
    <col collapsed="false" customWidth="true" hidden="false" outlineLevel="0" max="11" min="10" style="1" width="12"/>
    <col collapsed="false" customWidth="true" hidden="false" outlineLevel="0" max="12" min="12" style="1" width="10"/>
    <col collapsed="false" customWidth="true" hidden="false" outlineLevel="0" max="13" min="13" style="1" width="11"/>
    <col collapsed="false" customWidth="true" hidden="false" outlineLevel="0" max="14" min="14" style="1" width="10"/>
  </cols>
  <sheetData>
    <row r="1" customFormat="false" ht="17.25" hidden="false" customHeight="true" outlineLevel="0" collapsed="false">
      <c r="A1" s="2" t="s">
        <v>32</v>
      </c>
    </row>
    <row r="2" customFormat="false" ht="15" hidden="false" customHeight="true" outlineLevel="0" collapsed="false">
      <c r="A2" s="4" t="s">
        <v>33</v>
      </c>
      <c r="B2" s="12" t="n">
        <v>15</v>
      </c>
      <c r="C2" s="4" t="s">
        <v>34</v>
      </c>
      <c r="D2" s="12" t="n">
        <v>8</v>
      </c>
      <c r="E2" s="13" t="s">
        <v>35</v>
      </c>
    </row>
    <row r="4" customFormat="false" ht="45" hidden="false" customHeight="true" outlineLevel="0" collapsed="false">
      <c r="A4" s="14" t="s">
        <v>36</v>
      </c>
      <c r="B4" s="14" t="s">
        <v>37</v>
      </c>
      <c r="C4" s="14" t="s">
        <v>38</v>
      </c>
      <c r="D4" s="14" t="s">
        <v>39</v>
      </c>
      <c r="E4" s="14" t="s">
        <v>40</v>
      </c>
      <c r="F4" s="14" t="s">
        <v>41</v>
      </c>
      <c r="G4" s="14" t="s">
        <v>42</v>
      </c>
      <c r="H4" s="14" t="s">
        <v>43</v>
      </c>
      <c r="I4" s="14" t="s">
        <v>44</v>
      </c>
      <c r="J4" s="14" t="s">
        <v>45</v>
      </c>
      <c r="K4" s="14" t="s">
        <v>46</v>
      </c>
      <c r="L4" s="14" t="s">
        <v>47</v>
      </c>
      <c r="M4" s="14" t="s">
        <v>48</v>
      </c>
      <c r="N4" s="14" t="s">
        <v>49</v>
      </c>
    </row>
    <row r="5" customFormat="false" ht="78" hidden="false" customHeight="true" outlineLevel="0" collapsed="false">
      <c r="A5" s="15" t="s">
        <v>50</v>
      </c>
      <c r="B5" s="16" t="s">
        <v>51</v>
      </c>
      <c r="C5" s="16" t="s">
        <v>52</v>
      </c>
      <c r="D5" s="17" t="n">
        <v>4</v>
      </c>
      <c r="E5" s="17" t="n">
        <v>4</v>
      </c>
      <c r="F5" s="18" t="n">
        <f aca="false">D5*E5</f>
        <v>16</v>
      </c>
      <c r="G5" s="15" t="str">
        <f aca="false">IF(F5&gt;=$B$2,"High",IF(F5&gt;=$D$2,"Medium","Low"))</f>
        <v>High</v>
      </c>
      <c r="H5" s="16" t="s">
        <v>53</v>
      </c>
      <c r="I5" s="16" t="s">
        <v>54</v>
      </c>
      <c r="J5" s="17" t="n">
        <v>4</v>
      </c>
      <c r="K5" s="17" t="n">
        <v>2</v>
      </c>
      <c r="L5" s="18" t="n">
        <f aca="false">J5*K5</f>
        <v>8</v>
      </c>
      <c r="M5" s="15" t="str">
        <f aca="false">IF(L5&gt;=$B$2,"High",IF(L5&gt;=$D$2,"Medium","Low"))</f>
        <v>Medium</v>
      </c>
      <c r="N5" s="15" t="n">
        <f aca="false">F5-L5</f>
        <v>8</v>
      </c>
    </row>
    <row r="6" customFormat="false" ht="78" hidden="false" customHeight="true" outlineLevel="0" collapsed="false">
      <c r="A6" s="15" t="s">
        <v>55</v>
      </c>
      <c r="B6" s="16" t="s">
        <v>56</v>
      </c>
      <c r="C6" s="16" t="s">
        <v>57</v>
      </c>
      <c r="D6" s="17" t="n">
        <v>4</v>
      </c>
      <c r="E6" s="17" t="n">
        <v>4</v>
      </c>
      <c r="F6" s="18" t="n">
        <f aca="false">D6*E6</f>
        <v>16</v>
      </c>
      <c r="G6" s="15" t="str">
        <f aca="false">IF(F6&gt;=$B$2,"High",IF(F6&gt;=$D$2,"Medium","Low"))</f>
        <v>High</v>
      </c>
      <c r="H6" s="16" t="s">
        <v>58</v>
      </c>
      <c r="I6" s="16" t="s">
        <v>59</v>
      </c>
      <c r="J6" s="17" t="n">
        <v>2</v>
      </c>
      <c r="K6" s="17" t="n">
        <v>4</v>
      </c>
      <c r="L6" s="18" t="n">
        <f aca="false">J6*K6</f>
        <v>8</v>
      </c>
      <c r="M6" s="15" t="str">
        <f aca="false">IF(L6&gt;=$B$2,"High",IF(L6&gt;=$D$2,"Medium","Low"))</f>
        <v>Medium</v>
      </c>
      <c r="N6" s="15" t="n">
        <f aca="false">F6-L6</f>
        <v>8</v>
      </c>
    </row>
    <row r="7" customFormat="false" ht="78" hidden="false" customHeight="true" outlineLevel="0" collapsed="false">
      <c r="A7" s="15" t="s">
        <v>60</v>
      </c>
      <c r="B7" s="16" t="s">
        <v>61</v>
      </c>
      <c r="C7" s="16" t="s">
        <v>62</v>
      </c>
      <c r="D7" s="17" t="n">
        <v>3</v>
      </c>
      <c r="E7" s="17" t="n">
        <v>5</v>
      </c>
      <c r="F7" s="18" t="n">
        <f aca="false">D7*E7</f>
        <v>15</v>
      </c>
      <c r="G7" s="15" t="str">
        <f aca="false">IF(F7&gt;=$B$2,"High",IF(F7&gt;=$D$2,"Medium","Low"))</f>
        <v>High</v>
      </c>
      <c r="H7" s="16" t="s">
        <v>63</v>
      </c>
      <c r="I7" s="16" t="s">
        <v>64</v>
      </c>
      <c r="J7" s="17" t="n">
        <v>1</v>
      </c>
      <c r="K7" s="17" t="n">
        <v>5</v>
      </c>
      <c r="L7" s="18" t="n">
        <f aca="false">J7*K7</f>
        <v>5</v>
      </c>
      <c r="M7" s="15" t="str">
        <f aca="false">IF(L7&gt;=$B$2,"High",IF(L7&gt;=$D$2,"Medium","Low"))</f>
        <v>Low</v>
      </c>
      <c r="N7" s="15" t="n">
        <f aca="false">F7-L7</f>
        <v>10</v>
      </c>
    </row>
    <row r="8" customFormat="false" ht="78" hidden="false" customHeight="true" outlineLevel="0" collapsed="false">
      <c r="A8" s="15" t="s">
        <v>65</v>
      </c>
      <c r="B8" s="16" t="s">
        <v>66</v>
      </c>
      <c r="C8" s="16" t="s">
        <v>67</v>
      </c>
      <c r="D8" s="17" t="n">
        <v>2</v>
      </c>
      <c r="E8" s="17" t="n">
        <v>5</v>
      </c>
      <c r="F8" s="18" t="n">
        <f aca="false">D8*E8</f>
        <v>10</v>
      </c>
      <c r="G8" s="15" t="str">
        <f aca="false">IF(F8&gt;=$B$2,"High",IF(F8&gt;=$D$2,"Medium","Low"))</f>
        <v>Medium</v>
      </c>
      <c r="H8" s="16" t="s">
        <v>68</v>
      </c>
      <c r="I8" s="16" t="s">
        <v>69</v>
      </c>
      <c r="J8" s="17" t="n">
        <v>2</v>
      </c>
      <c r="K8" s="17" t="n">
        <v>4</v>
      </c>
      <c r="L8" s="18" t="n">
        <f aca="false">J8*K8</f>
        <v>8</v>
      </c>
      <c r="M8" s="15" t="str">
        <f aca="false">IF(L8&gt;=$B$2,"High",IF(L8&gt;=$D$2,"Medium","Low"))</f>
        <v>Medium</v>
      </c>
      <c r="N8" s="15" t="n">
        <f aca="false">F8-L8</f>
        <v>2</v>
      </c>
    </row>
    <row r="9" customFormat="false" ht="78" hidden="false" customHeight="true" outlineLevel="0" collapsed="false">
      <c r="A9" s="15" t="s">
        <v>70</v>
      </c>
      <c r="B9" s="16" t="s">
        <v>71</v>
      </c>
      <c r="C9" s="16" t="s">
        <v>72</v>
      </c>
      <c r="D9" s="17" t="n">
        <v>3</v>
      </c>
      <c r="E9" s="17" t="n">
        <v>4</v>
      </c>
      <c r="F9" s="18" t="n">
        <f aca="false">D9*E9</f>
        <v>12</v>
      </c>
      <c r="G9" s="15" t="str">
        <f aca="false">IF(F9&gt;=$B$2,"High",IF(F9&gt;=$D$2,"Medium","Low"))</f>
        <v>Medium</v>
      </c>
      <c r="H9" s="16" t="s">
        <v>73</v>
      </c>
      <c r="I9" s="16" t="s">
        <v>74</v>
      </c>
      <c r="J9" s="17" t="n">
        <v>2</v>
      </c>
      <c r="K9" s="17" t="n">
        <v>3</v>
      </c>
      <c r="L9" s="18" t="n">
        <f aca="false">J9*K9</f>
        <v>6</v>
      </c>
      <c r="M9" s="15" t="str">
        <f aca="false">IF(L9&gt;=$B$2,"High",IF(L9&gt;=$D$2,"Medium","Low"))</f>
        <v>Low</v>
      </c>
      <c r="N9" s="15" t="n">
        <f aca="false">F9-L9</f>
        <v>6</v>
      </c>
    </row>
    <row r="10" customFormat="false" ht="78" hidden="false" customHeight="true" outlineLevel="0" collapsed="false">
      <c r="A10" s="15" t="s">
        <v>75</v>
      </c>
      <c r="B10" s="16" t="s">
        <v>76</v>
      </c>
      <c r="C10" s="16" t="s">
        <v>77</v>
      </c>
      <c r="D10" s="17" t="n">
        <v>4</v>
      </c>
      <c r="E10" s="17" t="n">
        <v>4</v>
      </c>
      <c r="F10" s="18" t="n">
        <f aca="false">D10*E10</f>
        <v>16</v>
      </c>
      <c r="G10" s="15" t="str">
        <f aca="false">IF(F10&gt;=$B$2,"High",IF(F10&gt;=$D$2,"Medium","Low"))</f>
        <v>High</v>
      </c>
      <c r="H10" s="16" t="s">
        <v>78</v>
      </c>
      <c r="I10" s="16" t="s">
        <v>79</v>
      </c>
      <c r="J10" s="17" t="n">
        <v>2</v>
      </c>
      <c r="K10" s="17" t="n">
        <v>4</v>
      </c>
      <c r="L10" s="18" t="n">
        <f aca="false">J10*K10</f>
        <v>8</v>
      </c>
      <c r="M10" s="15" t="str">
        <f aca="false">IF(L10&gt;=$B$2,"High",IF(L10&gt;=$D$2,"Medium","Low"))</f>
        <v>Medium</v>
      </c>
      <c r="N10" s="15" t="n">
        <f aca="false">F10-L10</f>
        <v>8</v>
      </c>
    </row>
    <row r="12" customFormat="false" ht="15" hidden="false" customHeight="true" outlineLevel="0" collapsed="false">
      <c r="B12" s="4" t="s">
        <v>80</v>
      </c>
      <c r="F12" s="19" t="n">
        <f aca="false">AVERAGE(F5:F10)</f>
        <v>14.1666666666667</v>
      </c>
      <c r="L12" s="19" t="n">
        <f aca="false">AVERAGE(L5:L10)</f>
        <v>7.16666666666667</v>
      </c>
      <c r="N12" s="19" t="n">
        <f aca="false">AVERAGE(N5:N10)</f>
        <v>7</v>
      </c>
    </row>
    <row r="14" customFormat="false" ht="15" hidden="false" customHeight="true" outlineLevel="0" collapsed="false">
      <c r="B14" s="13" t="s">
        <v>81</v>
      </c>
    </row>
  </sheetData>
  <conditionalFormatting sqref="F5:F10">
    <cfRule type="cellIs" priority="2" operator="greaterThanOrEqual" aboveAverage="0" equalAverage="0" bottom="0" percent="0" rank="0" text="" dxfId="0">
      <formula>$B$2</formula>
    </cfRule>
    <cfRule type="cellIs" priority="3" operator="between" aboveAverage="0" equalAverage="0" bottom="0" percent="0" rank="0" text="" dxfId="1">
      <formula>$D$2</formula>
      <formula>$B$2-1</formula>
    </cfRule>
    <cfRule type="cellIs" priority="4" operator="lessThan" aboveAverage="0" equalAverage="0" bottom="0" percent="0" rank="0" text="" dxfId="2">
      <formula>$D$2</formula>
    </cfRule>
  </conditionalFormatting>
  <conditionalFormatting sqref="L5:L10">
    <cfRule type="cellIs" priority="5" operator="greaterThanOrEqual" aboveAverage="0" equalAverage="0" bottom="0" percent="0" rank="0" text="" dxfId="0">
      <formula>$B$2</formula>
    </cfRule>
    <cfRule type="cellIs" priority="6" operator="between" aboveAverage="0" equalAverage="0" bottom="0" percent="0" rank="0" text="" dxfId="1">
      <formula>$D$2</formula>
      <formula>$B$2-1</formula>
    </cfRule>
    <cfRule type="cellIs" priority="7" operator="lessThan" aboveAverage="0" equalAverage="0" bottom="0" percent="0" rank="0" text="" dxfId="2">
      <formula>$D$2</formula>
    </cfRule>
  </conditionalFormatting>
  <conditionalFormatting sqref="G5:G10">
    <cfRule type="cellIs" priority="8" operator="equal" aboveAverage="0" equalAverage="0" bottom="0" percent="0" rank="0" text="" dxfId="0">
      <formula>"High"</formula>
    </cfRule>
    <cfRule type="cellIs" priority="9" operator="equal" aboveAverage="0" equalAverage="0" bottom="0" percent="0" rank="0" text="" dxfId="1">
      <formula>"Medium"</formula>
    </cfRule>
    <cfRule type="cellIs" priority="10" operator="equal" aboveAverage="0" equalAverage="0" bottom="0" percent="0" rank="0" text="" dxfId="2">
      <formula>"Low"</formula>
    </cfRule>
  </conditionalFormatting>
  <conditionalFormatting sqref="M5:M10">
    <cfRule type="cellIs" priority="11" operator="equal" aboveAverage="0" equalAverage="0" bottom="0" percent="0" rank="0" text="" dxfId="0">
      <formula>"High"</formula>
    </cfRule>
    <cfRule type="cellIs" priority="12" operator="equal" aboveAverage="0" equalAverage="0" bottom="0" percent="0" rank="0" text="" dxfId="1">
      <formula>"Medium"</formula>
    </cfRule>
    <cfRule type="cellIs" priority="13" operator="equal" aboveAverage="0" equalAverage="0" bottom="0" percent="0" rank="0" text="" dxfId="2">
      <formula>"Low"</formula>
    </cfRule>
  </conditionalFormatting>
  <dataValidations count="1">
    <dataValidation allowBlank="false" error="Enter a whole number from 1 to 5." errorStyle="stop" errorTitle="Score 1-5" operator="between" showDropDown="false" showErrorMessage="true" showInputMessage="false" sqref="D5:E10 J5:K10"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7" min="2" style="1" width="9"/>
    <col collapsed="false" customWidth="true" hidden="false" outlineLevel="0" max="9" min="9" style="1" width="12"/>
    <col collapsed="false" customWidth="true" hidden="false" outlineLevel="0" max="15" min="10" style="1" width="9"/>
  </cols>
  <sheetData>
    <row r="1" customFormat="false" ht="17.25" hidden="false" customHeight="true" outlineLevel="0" collapsed="false">
      <c r="A1" s="2" t="s">
        <v>82</v>
      </c>
    </row>
    <row r="2" customFormat="false" ht="15" hidden="false" customHeight="true" outlineLevel="0" collapsed="false">
      <c r="A2" s="3" t="s">
        <v>83</v>
      </c>
    </row>
    <row r="4" customFormat="false" ht="15" hidden="false" customHeight="true" outlineLevel="0" collapsed="false">
      <c r="B4" s="6" t="s">
        <v>84</v>
      </c>
      <c r="J4" s="6" t="s">
        <v>85</v>
      </c>
    </row>
    <row r="5" customFormat="false" ht="15" hidden="false" customHeight="true" outlineLevel="0" collapsed="false">
      <c r="C5" s="4" t="s">
        <v>86</v>
      </c>
      <c r="K5" s="4" t="s">
        <v>86</v>
      </c>
    </row>
    <row r="6" customFormat="false" ht="31.5" hidden="false" customHeight="true" outlineLevel="0" collapsed="false">
      <c r="A6" s="4" t="s">
        <v>87</v>
      </c>
      <c r="B6" s="20" t="n">
        <v>5</v>
      </c>
      <c r="C6" s="21" t="n">
        <f aca="false">COUNTIFS('Risk Register'!$D$5:$D$10,5,'Risk Register'!$E$5:$E$10,1)</f>
        <v>0</v>
      </c>
      <c r="D6" s="22" t="n">
        <f aca="false">COUNTIFS('Risk Register'!$D$5:$D$10,5,'Risk Register'!$E$5:$E$10,2)</f>
        <v>0</v>
      </c>
      <c r="E6" s="23" t="n">
        <f aca="false">COUNTIFS('Risk Register'!$D$5:$D$10,5,'Risk Register'!$E$5:$E$10,3)</f>
        <v>0</v>
      </c>
      <c r="F6" s="23" t="n">
        <f aca="false">COUNTIFS('Risk Register'!$D$5:$D$10,5,'Risk Register'!$E$5:$E$10,4)</f>
        <v>0</v>
      </c>
      <c r="G6" s="23" t="n">
        <f aca="false">COUNTIFS('Risk Register'!$D$5:$D$10,5,'Risk Register'!$E$5:$E$10,5)</f>
        <v>0</v>
      </c>
      <c r="I6" s="4" t="s">
        <v>87</v>
      </c>
      <c r="J6" s="20" t="n">
        <v>5</v>
      </c>
      <c r="K6" s="21" t="n">
        <f aca="false">COUNTIFS('Risk Register'!$J$5:$J$10,5,'Risk Register'!$K$5:$K$10,1)</f>
        <v>0</v>
      </c>
      <c r="L6" s="22" t="n">
        <f aca="false">COUNTIFS('Risk Register'!$J$5:$J$10,5,'Risk Register'!$K$5:$K$10,2)</f>
        <v>0</v>
      </c>
      <c r="M6" s="23" t="n">
        <f aca="false">COUNTIFS('Risk Register'!$J$5:$J$10,5,'Risk Register'!$K$5:$K$10,3)</f>
        <v>0</v>
      </c>
      <c r="N6" s="23" t="n">
        <f aca="false">COUNTIFS('Risk Register'!$J$5:$J$10,5,'Risk Register'!$K$5:$K$10,4)</f>
        <v>0</v>
      </c>
      <c r="O6" s="23" t="n">
        <f aca="false">COUNTIFS('Risk Register'!$J$5:$J$10,5,'Risk Register'!$K$5:$K$10,5)</f>
        <v>0</v>
      </c>
    </row>
    <row r="7" customFormat="false" ht="31.5" hidden="false" customHeight="true" outlineLevel="0" collapsed="false">
      <c r="B7" s="20" t="n">
        <v>4</v>
      </c>
      <c r="C7" s="21" t="n">
        <f aca="false">COUNTIFS('Risk Register'!$D$5:$D$10,4,'Risk Register'!$E$5:$E$10,1)</f>
        <v>0</v>
      </c>
      <c r="D7" s="22" t="n">
        <f aca="false">COUNTIFS('Risk Register'!$D$5:$D$10,4,'Risk Register'!$E$5:$E$10,2)</f>
        <v>0</v>
      </c>
      <c r="E7" s="22" t="n">
        <f aca="false">COUNTIFS('Risk Register'!$D$5:$D$10,4,'Risk Register'!$E$5:$E$10,3)</f>
        <v>0</v>
      </c>
      <c r="F7" s="23" t="n">
        <f aca="false">COUNTIFS('Risk Register'!$D$5:$D$10,4,'Risk Register'!$E$5:$E$10,4)</f>
        <v>3</v>
      </c>
      <c r="G7" s="23" t="n">
        <f aca="false">COUNTIFS('Risk Register'!$D$5:$D$10,4,'Risk Register'!$E$5:$E$10,5)</f>
        <v>0</v>
      </c>
      <c r="J7" s="20" t="n">
        <v>4</v>
      </c>
      <c r="K7" s="21" t="n">
        <f aca="false">COUNTIFS('Risk Register'!$J$5:$J$10,4,'Risk Register'!$K$5:$K$10,1)</f>
        <v>0</v>
      </c>
      <c r="L7" s="22" t="n">
        <f aca="false">COUNTIFS('Risk Register'!$J$5:$J$10,4,'Risk Register'!$K$5:$K$10,2)</f>
        <v>1</v>
      </c>
      <c r="M7" s="22" t="n">
        <f aca="false">COUNTIFS('Risk Register'!$J$5:$J$10,4,'Risk Register'!$K$5:$K$10,3)</f>
        <v>0</v>
      </c>
      <c r="N7" s="23" t="n">
        <f aca="false">COUNTIFS('Risk Register'!$J$5:$J$10,4,'Risk Register'!$K$5:$K$10,4)</f>
        <v>0</v>
      </c>
      <c r="O7" s="23" t="n">
        <f aca="false">COUNTIFS('Risk Register'!$J$5:$J$10,4,'Risk Register'!$K$5:$K$10,5)</f>
        <v>0</v>
      </c>
    </row>
    <row r="8" customFormat="false" ht="31.5" hidden="false" customHeight="true" outlineLevel="0" collapsed="false">
      <c r="B8" s="20" t="n">
        <v>3</v>
      </c>
      <c r="C8" s="21" t="n">
        <f aca="false">COUNTIFS('Risk Register'!$D$5:$D$10,3,'Risk Register'!$E$5:$E$10,1)</f>
        <v>0</v>
      </c>
      <c r="D8" s="21" t="n">
        <f aca="false">COUNTIFS('Risk Register'!$D$5:$D$10,3,'Risk Register'!$E$5:$E$10,2)</f>
        <v>0</v>
      </c>
      <c r="E8" s="22" t="n">
        <f aca="false">COUNTIFS('Risk Register'!$D$5:$D$10,3,'Risk Register'!$E$5:$E$10,3)</f>
        <v>0</v>
      </c>
      <c r="F8" s="22" t="n">
        <f aca="false">COUNTIFS('Risk Register'!$D$5:$D$10,3,'Risk Register'!$E$5:$E$10,4)</f>
        <v>1</v>
      </c>
      <c r="G8" s="23" t="n">
        <f aca="false">COUNTIFS('Risk Register'!$D$5:$D$10,3,'Risk Register'!$E$5:$E$10,5)</f>
        <v>1</v>
      </c>
      <c r="J8" s="20" t="n">
        <v>3</v>
      </c>
      <c r="K8" s="21" t="n">
        <f aca="false">COUNTIFS('Risk Register'!$J$5:$J$10,3,'Risk Register'!$K$5:$K$10,1)</f>
        <v>0</v>
      </c>
      <c r="L8" s="21" t="n">
        <f aca="false">COUNTIFS('Risk Register'!$J$5:$J$10,3,'Risk Register'!$K$5:$K$10,2)</f>
        <v>0</v>
      </c>
      <c r="M8" s="22" t="n">
        <f aca="false">COUNTIFS('Risk Register'!$J$5:$J$10,3,'Risk Register'!$K$5:$K$10,3)</f>
        <v>0</v>
      </c>
      <c r="N8" s="22" t="n">
        <f aca="false">COUNTIFS('Risk Register'!$J$5:$J$10,3,'Risk Register'!$K$5:$K$10,4)</f>
        <v>0</v>
      </c>
      <c r="O8" s="23" t="n">
        <f aca="false">COUNTIFS('Risk Register'!$J$5:$J$10,3,'Risk Register'!$K$5:$K$10,5)</f>
        <v>0</v>
      </c>
    </row>
    <row r="9" customFormat="false" ht="31.5" hidden="false" customHeight="true" outlineLevel="0" collapsed="false">
      <c r="B9" s="20" t="n">
        <v>2</v>
      </c>
      <c r="C9" s="21" t="n">
        <f aca="false">COUNTIFS('Risk Register'!$D$5:$D$10,2,'Risk Register'!$E$5:$E$10,1)</f>
        <v>0</v>
      </c>
      <c r="D9" s="21" t="n">
        <f aca="false">COUNTIFS('Risk Register'!$D$5:$D$10,2,'Risk Register'!$E$5:$E$10,2)</f>
        <v>0</v>
      </c>
      <c r="E9" s="21" t="n">
        <f aca="false">COUNTIFS('Risk Register'!$D$5:$D$10,2,'Risk Register'!$E$5:$E$10,3)</f>
        <v>0</v>
      </c>
      <c r="F9" s="22" t="n">
        <f aca="false">COUNTIFS('Risk Register'!$D$5:$D$10,2,'Risk Register'!$E$5:$E$10,4)</f>
        <v>0</v>
      </c>
      <c r="G9" s="22" t="n">
        <f aca="false">COUNTIFS('Risk Register'!$D$5:$D$10,2,'Risk Register'!$E$5:$E$10,5)</f>
        <v>1</v>
      </c>
      <c r="J9" s="20" t="n">
        <v>2</v>
      </c>
      <c r="K9" s="21" t="n">
        <f aca="false">COUNTIFS('Risk Register'!$J$5:$J$10,2,'Risk Register'!$K$5:$K$10,1)</f>
        <v>0</v>
      </c>
      <c r="L9" s="21" t="n">
        <f aca="false">COUNTIFS('Risk Register'!$J$5:$J$10,2,'Risk Register'!$K$5:$K$10,2)</f>
        <v>0</v>
      </c>
      <c r="M9" s="21" t="n">
        <f aca="false">COUNTIFS('Risk Register'!$J$5:$J$10,2,'Risk Register'!$K$5:$K$10,3)</f>
        <v>1</v>
      </c>
      <c r="N9" s="22" t="n">
        <f aca="false">COUNTIFS('Risk Register'!$J$5:$J$10,2,'Risk Register'!$K$5:$K$10,4)</f>
        <v>3</v>
      </c>
      <c r="O9" s="22" t="n">
        <f aca="false">COUNTIFS('Risk Register'!$J$5:$J$10,2,'Risk Register'!$K$5:$K$10,5)</f>
        <v>0</v>
      </c>
    </row>
    <row r="10" customFormat="false" ht="31.5" hidden="false" customHeight="true" outlineLevel="0" collapsed="false">
      <c r="B10" s="20" t="n">
        <v>1</v>
      </c>
      <c r="C10" s="21" t="n">
        <f aca="false">COUNTIFS('Risk Register'!$D$5:$D$10,1,'Risk Register'!$E$5:$E$10,1)</f>
        <v>0</v>
      </c>
      <c r="D10" s="21" t="n">
        <f aca="false">COUNTIFS('Risk Register'!$D$5:$D$10,1,'Risk Register'!$E$5:$E$10,2)</f>
        <v>0</v>
      </c>
      <c r="E10" s="21" t="n">
        <f aca="false">COUNTIFS('Risk Register'!$D$5:$D$10,1,'Risk Register'!$E$5:$E$10,3)</f>
        <v>0</v>
      </c>
      <c r="F10" s="21" t="n">
        <f aca="false">COUNTIFS('Risk Register'!$D$5:$D$10,1,'Risk Register'!$E$5:$E$10,4)</f>
        <v>0</v>
      </c>
      <c r="G10" s="21" t="n">
        <f aca="false">COUNTIFS('Risk Register'!$D$5:$D$10,1,'Risk Register'!$E$5:$E$10,5)</f>
        <v>0</v>
      </c>
      <c r="J10" s="20" t="n">
        <v>1</v>
      </c>
      <c r="K10" s="21" t="n">
        <f aca="false">COUNTIFS('Risk Register'!$J$5:$J$10,1,'Risk Register'!$K$5:$K$10,1)</f>
        <v>0</v>
      </c>
      <c r="L10" s="21" t="n">
        <f aca="false">COUNTIFS('Risk Register'!$J$5:$J$10,1,'Risk Register'!$K$5:$K$10,2)</f>
        <v>0</v>
      </c>
      <c r="M10" s="21" t="n">
        <f aca="false">COUNTIFS('Risk Register'!$J$5:$J$10,1,'Risk Register'!$K$5:$K$10,3)</f>
        <v>0</v>
      </c>
      <c r="N10" s="21" t="n">
        <f aca="false">COUNTIFS('Risk Register'!$J$5:$J$10,1,'Risk Register'!$K$5:$K$10,4)</f>
        <v>0</v>
      </c>
      <c r="O10" s="21" t="n">
        <f aca="false">COUNTIFS('Risk Register'!$J$5:$J$10,1,'Risk Register'!$K$5:$K$10,5)</f>
        <v>1</v>
      </c>
    </row>
    <row r="11" customFormat="false" ht="15" hidden="false" customHeight="true" outlineLevel="0" collapsed="false">
      <c r="C11" s="20" t="n">
        <v>1</v>
      </c>
      <c r="D11" s="20" t="n">
        <v>2</v>
      </c>
      <c r="E11" s="20" t="n">
        <v>3</v>
      </c>
      <c r="F11" s="20" t="n">
        <v>4</v>
      </c>
      <c r="G11" s="20" t="n">
        <v>5</v>
      </c>
      <c r="K11" s="20" t="n">
        <v>1</v>
      </c>
      <c r="L11" s="20" t="n">
        <v>2</v>
      </c>
      <c r="M11" s="20" t="n">
        <v>3</v>
      </c>
      <c r="N11" s="20" t="n">
        <v>4</v>
      </c>
      <c r="O11" s="20" t="n">
        <v>5</v>
      </c>
    </row>
    <row r="14" customFormat="false" ht="15" hidden="false" customHeight="true" outlineLevel="0" collapsed="false">
      <c r="B14" s="13"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38"/>
    <col collapsed="false" customWidth="true" hidden="false" outlineLevel="0" max="4" min="4" style="1" width="48"/>
    <col collapsed="false" customWidth="true" hidden="false" outlineLevel="0" max="5" min="5" style="1" width="15"/>
    <col collapsed="false" customWidth="true" hidden="false" outlineLevel="0" max="6" min="6" style="1" width="13"/>
    <col collapsed="false" customWidth="true" hidden="false" outlineLevel="0" max="7" min="7" style="1" width="52"/>
    <col collapsed="false" customWidth="true" hidden="false" outlineLevel="0" max="8" min="8" style="1" width="20"/>
    <col collapsed="false" customWidth="true" hidden="false" outlineLevel="0" max="9" min="9" style="1" width="11"/>
  </cols>
  <sheetData>
    <row r="1" customFormat="false" ht="17.25" hidden="false" customHeight="true" outlineLevel="0" collapsed="false">
      <c r="A1" s="2" t="s">
        <v>89</v>
      </c>
    </row>
    <row r="2" customFormat="false" ht="15" hidden="false" customHeight="true" outlineLevel="0" collapsed="false">
      <c r="A2" s="3" t="s">
        <v>90</v>
      </c>
    </row>
    <row r="4" customFormat="false" ht="30" hidden="false" customHeight="true" outlineLevel="0" collapsed="false">
      <c r="A4" s="14" t="s">
        <v>91</v>
      </c>
      <c r="B4" s="14" t="s">
        <v>92</v>
      </c>
      <c r="C4" s="14" t="s">
        <v>93</v>
      </c>
      <c r="D4" s="14" t="s">
        <v>94</v>
      </c>
      <c r="E4" s="14" t="s">
        <v>95</v>
      </c>
      <c r="F4" s="14" t="s">
        <v>96</v>
      </c>
      <c r="G4" s="14" t="s">
        <v>97</v>
      </c>
      <c r="H4" s="14" t="s">
        <v>98</v>
      </c>
      <c r="I4" s="14" t="s">
        <v>99</v>
      </c>
    </row>
    <row r="5" customFormat="false" ht="94.5" hidden="false" customHeight="true" outlineLevel="0" collapsed="false">
      <c r="A5" s="15" t="n">
        <v>1</v>
      </c>
      <c r="B5" s="16" t="s">
        <v>100</v>
      </c>
      <c r="C5" s="16" t="s">
        <v>101</v>
      </c>
      <c r="D5" s="16" t="s">
        <v>102</v>
      </c>
      <c r="E5" s="17" t="s">
        <v>103</v>
      </c>
      <c r="F5" s="15" t="s">
        <v>104</v>
      </c>
      <c r="G5" s="16" t="s">
        <v>105</v>
      </c>
      <c r="H5" s="16" t="s">
        <v>106</v>
      </c>
      <c r="I5" s="15" t="n">
        <v>60</v>
      </c>
    </row>
    <row r="6" customFormat="false" ht="94.5" hidden="false" customHeight="true" outlineLevel="0" collapsed="false">
      <c r="A6" s="15" t="n">
        <v>2</v>
      </c>
      <c r="B6" s="16" t="s">
        <v>107</v>
      </c>
      <c r="C6" s="16" t="s">
        <v>108</v>
      </c>
      <c r="D6" s="16" t="s">
        <v>109</v>
      </c>
      <c r="E6" s="17" t="s">
        <v>110</v>
      </c>
      <c r="F6" s="15" t="s">
        <v>111</v>
      </c>
      <c r="G6" s="16" t="s">
        <v>112</v>
      </c>
      <c r="H6" s="16" t="s">
        <v>113</v>
      </c>
      <c r="I6" s="15" t="n">
        <v>45</v>
      </c>
    </row>
    <row r="7" customFormat="false" ht="94.5" hidden="false" customHeight="true" outlineLevel="0" collapsed="false">
      <c r="A7" s="15" t="n">
        <v>3</v>
      </c>
      <c r="B7" s="16" t="s">
        <v>114</v>
      </c>
      <c r="C7" s="16" t="s">
        <v>115</v>
      </c>
      <c r="D7" s="16" t="s">
        <v>116</v>
      </c>
      <c r="E7" s="17" t="s">
        <v>110</v>
      </c>
      <c r="F7" s="15" t="s">
        <v>111</v>
      </c>
      <c r="G7" s="16" t="s">
        <v>117</v>
      </c>
      <c r="H7" s="16" t="s">
        <v>118</v>
      </c>
      <c r="I7" s="15" t="n">
        <v>30</v>
      </c>
    </row>
    <row r="8" customFormat="false" ht="94.5" hidden="false" customHeight="true" outlineLevel="0" collapsed="false">
      <c r="A8" s="15" t="n">
        <v>4</v>
      </c>
      <c r="B8" s="16" t="s">
        <v>119</v>
      </c>
      <c r="C8" s="16" t="s">
        <v>120</v>
      </c>
      <c r="D8" s="16" t="s">
        <v>121</v>
      </c>
      <c r="E8" s="17" t="s">
        <v>103</v>
      </c>
      <c r="F8" s="15" t="s">
        <v>104</v>
      </c>
      <c r="G8" s="16" t="s">
        <v>122</v>
      </c>
      <c r="H8" s="16" t="s">
        <v>123</v>
      </c>
      <c r="I8" s="15" t="n">
        <v>60</v>
      </c>
    </row>
    <row r="9" customFormat="false" ht="94.5" hidden="false" customHeight="true" outlineLevel="0" collapsed="false">
      <c r="A9" s="15" t="n">
        <v>5</v>
      </c>
      <c r="B9" s="16" t="s">
        <v>124</v>
      </c>
      <c r="C9" s="16" t="s">
        <v>125</v>
      </c>
      <c r="D9" s="16" t="s">
        <v>126</v>
      </c>
      <c r="E9" s="17" t="s">
        <v>110</v>
      </c>
      <c r="F9" s="15" t="s">
        <v>111</v>
      </c>
      <c r="G9" s="16" t="s">
        <v>127</v>
      </c>
      <c r="H9" s="16" t="s">
        <v>128</v>
      </c>
      <c r="I9" s="15" t="n">
        <v>30</v>
      </c>
    </row>
    <row r="10" customFormat="false" ht="94.5" hidden="false" customHeight="true" outlineLevel="0" collapsed="false">
      <c r="A10" s="15" t="n">
        <v>6</v>
      </c>
      <c r="B10" s="16" t="s">
        <v>129</v>
      </c>
      <c r="C10" s="16" t="s">
        <v>130</v>
      </c>
      <c r="D10" s="16" t="s">
        <v>131</v>
      </c>
      <c r="E10" s="17" t="s">
        <v>103</v>
      </c>
      <c r="F10" s="15" t="s">
        <v>111</v>
      </c>
      <c r="G10" s="16" t="s">
        <v>132</v>
      </c>
      <c r="H10" s="16" t="s">
        <v>133</v>
      </c>
      <c r="I10" s="15" t="n">
        <v>30</v>
      </c>
    </row>
    <row r="12" customFormat="false" ht="15" hidden="false" customHeight="true" outlineLevel="0" collapsed="false">
      <c r="B12" s="6" t="s">
        <v>134</v>
      </c>
    </row>
    <row r="13" customFormat="false" ht="15" hidden="false" customHeight="true" outlineLevel="0" collapsed="false">
      <c r="B13" s="7" t="s">
        <v>135</v>
      </c>
      <c r="C13" s="8" t="n">
        <f aca="false">COUNTIF($E$5:$E$10,B13)</f>
        <v>0</v>
      </c>
    </row>
    <row r="14" customFormat="false" ht="15" hidden="false" customHeight="true" outlineLevel="0" collapsed="false">
      <c r="B14" s="7" t="s">
        <v>103</v>
      </c>
      <c r="C14" s="8" t="n">
        <f aca="false">COUNTIF($E$5:$E$10,B14)</f>
        <v>3</v>
      </c>
    </row>
    <row r="15" customFormat="false" ht="15" hidden="false" customHeight="true" outlineLevel="0" collapsed="false">
      <c r="B15" s="7" t="s">
        <v>110</v>
      </c>
      <c r="C15" s="8" t="n">
        <f aca="false">COUNTIF($E$5:$E$10,B15)</f>
        <v>3</v>
      </c>
    </row>
    <row r="16" customFormat="false" ht="15" hidden="false" customHeight="true" outlineLevel="0" collapsed="false">
      <c r="B16" s="4" t="s">
        <v>136</v>
      </c>
      <c r="C16" s="24" t="n">
        <f aca="false">SUM(C13:C15)</f>
        <v>6</v>
      </c>
    </row>
    <row r="18" customFormat="false" ht="15" hidden="false" customHeight="true" outlineLevel="0" collapsed="false">
      <c r="B18" s="13" t="s">
        <v>137</v>
      </c>
    </row>
  </sheetData>
  <conditionalFormatting sqref="E5:E10">
    <cfRule type="cellIs" priority="2" operator="equal" aboveAverage="0" equalAverage="0" bottom="0" percent="0" rank="0" text="" dxfId="2">
      <formula>"Compliant"</formula>
    </cfRule>
    <cfRule type="cellIs" priority="3" operator="equal" aboveAverage="0" equalAverage="0" bottom="0" percent="0" rank="0" text="" dxfId="1">
      <formula>"Partial"</formula>
    </cfRule>
    <cfRule type="cellIs" priority="4" operator="equal" aboveAverage="0" equalAverage="0" bottom="0" percent="0" rank="0" text="" dxfId="0">
      <formula>"Non-compliant"</formula>
    </cfRule>
  </conditionalFormatting>
  <dataValidations count="1">
    <dataValidation allowBlank="false" errorStyle="stop" operator="between" showDropDown="false" showErrorMessage="true" showInputMessage="false" sqref="E5:E10" type="list">
      <formula1>"Compliant,Partial,Non-compliant"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8"/>
    <col collapsed="false" customWidth="true" hidden="false" outlineLevel="0" max="3" min="3" style="1" width="40"/>
    <col collapsed="false" customWidth="true" hidden="false" outlineLevel="0" max="4" min="4" style="1" width="38"/>
    <col collapsed="false" customWidth="true" hidden="false" outlineLevel="0" max="5" min="5" style="1" width="36"/>
    <col collapsed="false" customWidth="true" hidden="false" outlineLevel="0" max="7" min="6" style="1" width="15"/>
    <col collapsed="false" customWidth="true" hidden="false" outlineLevel="0" max="8" min="8" style="1" width="46"/>
  </cols>
  <sheetData>
    <row r="1" customFormat="false" ht="17.25" hidden="false" customHeight="true" outlineLevel="0" collapsed="false">
      <c r="A1" s="2" t="s">
        <v>138</v>
      </c>
    </row>
    <row r="2" customFormat="false" ht="15" hidden="false" customHeight="true" outlineLevel="0" collapsed="false">
      <c r="A2" s="3" t="s">
        <v>139</v>
      </c>
    </row>
    <row r="4" customFormat="false" ht="30" hidden="false" customHeight="true" outlineLevel="0" collapsed="false">
      <c r="A4" s="14" t="s">
        <v>91</v>
      </c>
      <c r="B4" s="14" t="s">
        <v>38</v>
      </c>
      <c r="C4" s="14" t="s">
        <v>140</v>
      </c>
      <c r="D4" s="14" t="s">
        <v>141</v>
      </c>
      <c r="E4" s="14" t="s">
        <v>142</v>
      </c>
      <c r="F4" s="14" t="s">
        <v>143</v>
      </c>
      <c r="G4" s="14" t="s">
        <v>144</v>
      </c>
      <c r="H4" s="14" t="s">
        <v>145</v>
      </c>
    </row>
    <row r="5" customFormat="false" ht="57.75" hidden="false" customHeight="true" outlineLevel="0" collapsed="false">
      <c r="A5" s="15" t="n">
        <v>1</v>
      </c>
      <c r="B5" s="16" t="s">
        <v>146</v>
      </c>
      <c r="C5" s="16" t="s">
        <v>147</v>
      </c>
      <c r="D5" s="16" t="s">
        <v>148</v>
      </c>
      <c r="E5" s="16" t="s">
        <v>149</v>
      </c>
      <c r="F5" s="18" t="s">
        <v>135</v>
      </c>
      <c r="G5" s="18" t="s">
        <v>110</v>
      </c>
      <c r="H5" s="16" t="s">
        <v>150</v>
      </c>
    </row>
    <row r="6" customFormat="false" ht="57.75" hidden="false" customHeight="true" outlineLevel="0" collapsed="false">
      <c r="A6" s="15" t="n">
        <v>2</v>
      </c>
      <c r="B6" s="16" t="s">
        <v>151</v>
      </c>
      <c r="C6" s="16" t="s">
        <v>152</v>
      </c>
      <c r="D6" s="16" t="s">
        <v>153</v>
      </c>
      <c r="E6" s="16" t="s">
        <v>154</v>
      </c>
      <c r="F6" s="18" t="s">
        <v>135</v>
      </c>
      <c r="G6" s="18" t="s">
        <v>110</v>
      </c>
      <c r="H6" s="16" t="s">
        <v>155</v>
      </c>
    </row>
    <row r="7" customFormat="false" ht="57.75" hidden="false" customHeight="true" outlineLevel="0" collapsed="false">
      <c r="A7" s="15" t="n">
        <v>3</v>
      </c>
      <c r="B7" s="16" t="s">
        <v>156</v>
      </c>
      <c r="C7" s="16" t="s">
        <v>157</v>
      </c>
      <c r="D7" s="16" t="s">
        <v>158</v>
      </c>
      <c r="E7" s="16" t="s">
        <v>159</v>
      </c>
      <c r="F7" s="18" t="s">
        <v>135</v>
      </c>
      <c r="G7" s="18" t="s">
        <v>103</v>
      </c>
      <c r="H7" s="16" t="s">
        <v>160</v>
      </c>
    </row>
    <row r="8" customFormat="false" ht="57.75" hidden="false" customHeight="true" outlineLevel="0" collapsed="false">
      <c r="A8" s="15" t="n">
        <v>4</v>
      </c>
      <c r="B8" s="16" t="s">
        <v>161</v>
      </c>
      <c r="C8" s="16" t="s">
        <v>162</v>
      </c>
      <c r="D8" s="16" t="s">
        <v>163</v>
      </c>
      <c r="E8" s="16" t="s">
        <v>164</v>
      </c>
      <c r="F8" s="18" t="s">
        <v>135</v>
      </c>
      <c r="G8" s="18" t="s">
        <v>110</v>
      </c>
      <c r="H8" s="16" t="s">
        <v>165</v>
      </c>
    </row>
    <row r="9" customFormat="false" ht="57.75" hidden="false" customHeight="true" outlineLevel="0" collapsed="false">
      <c r="A9" s="15" t="n">
        <v>5</v>
      </c>
      <c r="B9" s="16" t="s">
        <v>166</v>
      </c>
      <c r="C9" s="16" t="s">
        <v>167</v>
      </c>
      <c r="D9" s="16" t="s">
        <v>168</v>
      </c>
      <c r="E9" s="16" t="s">
        <v>169</v>
      </c>
      <c r="F9" s="18" t="s">
        <v>135</v>
      </c>
      <c r="G9" s="18" t="s">
        <v>110</v>
      </c>
      <c r="H9" s="16" t="s">
        <v>170</v>
      </c>
    </row>
    <row r="10" customFormat="false" ht="57.75" hidden="false" customHeight="true" outlineLevel="0" collapsed="false">
      <c r="A10" s="15" t="n">
        <v>6</v>
      </c>
      <c r="B10" s="16" t="s">
        <v>171</v>
      </c>
      <c r="C10" s="16" t="s">
        <v>172</v>
      </c>
      <c r="D10" s="16" t="s">
        <v>173</v>
      </c>
      <c r="E10" s="16" t="s">
        <v>174</v>
      </c>
      <c r="F10" s="18" t="s">
        <v>135</v>
      </c>
      <c r="G10" s="18" t="s">
        <v>110</v>
      </c>
      <c r="H10" s="16" t="s">
        <v>175</v>
      </c>
    </row>
    <row r="11" customFormat="false" ht="57.75" hidden="false" customHeight="true" outlineLevel="0" collapsed="false">
      <c r="A11" s="15" t="n">
        <v>7</v>
      </c>
      <c r="B11" s="16" t="s">
        <v>176</v>
      </c>
      <c r="C11" s="16" t="s">
        <v>177</v>
      </c>
      <c r="D11" s="16" t="s">
        <v>178</v>
      </c>
      <c r="E11" s="16" t="s">
        <v>179</v>
      </c>
      <c r="F11" s="18" t="s">
        <v>135</v>
      </c>
      <c r="G11" s="18" t="s">
        <v>110</v>
      </c>
      <c r="H11" s="16" t="s">
        <v>180</v>
      </c>
    </row>
    <row r="12" customFormat="false" ht="57.75" hidden="false" customHeight="true" outlineLevel="0" collapsed="false">
      <c r="A12" s="15" t="n">
        <v>8</v>
      </c>
      <c r="B12" s="16" t="s">
        <v>181</v>
      </c>
      <c r="C12" s="16" t="s">
        <v>182</v>
      </c>
      <c r="D12" s="16" t="s">
        <v>183</v>
      </c>
      <c r="E12" s="16" t="s">
        <v>184</v>
      </c>
      <c r="F12" s="18" t="s">
        <v>135</v>
      </c>
      <c r="G12" s="18" t="s">
        <v>110</v>
      </c>
      <c r="H12" s="16" t="s">
        <v>185</v>
      </c>
    </row>
    <row r="13" customFormat="false" ht="57.75" hidden="false" customHeight="true" outlineLevel="0" collapsed="false">
      <c r="A13" s="15" t="n">
        <v>9</v>
      </c>
      <c r="B13" s="16" t="s">
        <v>186</v>
      </c>
      <c r="C13" s="16" t="s">
        <v>187</v>
      </c>
      <c r="D13" s="16" t="s">
        <v>188</v>
      </c>
      <c r="E13" s="16" t="s">
        <v>189</v>
      </c>
      <c r="F13" s="18" t="s">
        <v>135</v>
      </c>
      <c r="G13" s="18" t="s">
        <v>103</v>
      </c>
      <c r="H13" s="16" t="s">
        <v>190</v>
      </c>
    </row>
    <row r="14" customFormat="false" ht="57.75" hidden="false" customHeight="true" outlineLevel="0" collapsed="false">
      <c r="A14" s="15" t="n">
        <v>10</v>
      </c>
      <c r="B14" s="16" t="s">
        <v>191</v>
      </c>
      <c r="C14" s="16" t="s">
        <v>192</v>
      </c>
      <c r="D14" s="16" t="s">
        <v>193</v>
      </c>
      <c r="E14" s="16" t="s">
        <v>194</v>
      </c>
      <c r="F14" s="18" t="s">
        <v>135</v>
      </c>
      <c r="G14" s="18" t="s">
        <v>110</v>
      </c>
      <c r="H14" s="16" t="s">
        <v>195</v>
      </c>
    </row>
    <row r="15" customFormat="false" ht="57.75" hidden="false" customHeight="true" outlineLevel="0" collapsed="false">
      <c r="A15" s="15" t="n">
        <v>11</v>
      </c>
      <c r="B15" s="16" t="s">
        <v>196</v>
      </c>
      <c r="C15" s="16" t="s">
        <v>197</v>
      </c>
      <c r="D15" s="16" t="s">
        <v>198</v>
      </c>
      <c r="E15" s="16" t="s">
        <v>199</v>
      </c>
      <c r="F15" s="18" t="s">
        <v>135</v>
      </c>
      <c r="G15" s="18" t="s">
        <v>103</v>
      </c>
      <c r="H15" s="16" t="s">
        <v>200</v>
      </c>
    </row>
    <row r="16" customFormat="false" ht="57.75" hidden="false" customHeight="true" outlineLevel="0" collapsed="false">
      <c r="A16" s="15" t="n">
        <v>12</v>
      </c>
      <c r="B16" s="16" t="s">
        <v>201</v>
      </c>
      <c r="C16" s="16" t="s">
        <v>202</v>
      </c>
      <c r="D16" s="16" t="s">
        <v>203</v>
      </c>
      <c r="E16" s="16" t="s">
        <v>204</v>
      </c>
      <c r="F16" s="18" t="s">
        <v>135</v>
      </c>
      <c r="G16" s="18" t="s">
        <v>103</v>
      </c>
      <c r="H16" s="16" t="s">
        <v>205</v>
      </c>
    </row>
    <row r="17" customFormat="false" ht="57.75" hidden="false" customHeight="true" outlineLevel="0" collapsed="false">
      <c r="A17" s="15" t="n">
        <v>13</v>
      </c>
      <c r="B17" s="16" t="s">
        <v>206</v>
      </c>
      <c r="C17" s="16" t="s">
        <v>207</v>
      </c>
      <c r="D17" s="16" t="s">
        <v>208</v>
      </c>
      <c r="E17" s="16" t="s">
        <v>209</v>
      </c>
      <c r="F17" s="18" t="s">
        <v>135</v>
      </c>
      <c r="G17" s="18" t="s">
        <v>110</v>
      </c>
      <c r="H17" s="16" t="s">
        <v>210</v>
      </c>
    </row>
    <row r="20" customFormat="false" ht="15" hidden="false" customHeight="true" outlineLevel="0" collapsed="false">
      <c r="B20" s="6" t="s">
        <v>134</v>
      </c>
    </row>
    <row r="21" customFormat="false" ht="15" hidden="false" customHeight="true" outlineLevel="0" collapsed="false">
      <c r="B21" s="7" t="s">
        <v>211</v>
      </c>
      <c r="C21" s="24" t="n">
        <f aca="false">COUNTIF(F5:F17,"Compliant")</f>
        <v>13</v>
      </c>
    </row>
    <row r="22" customFormat="false" ht="15" hidden="false" customHeight="true" outlineLevel="0" collapsed="false">
      <c r="B22" s="7" t="s">
        <v>212</v>
      </c>
      <c r="C22" s="24" t="n">
        <f aca="false">COUNTIF(G5:G17,"Compliant")</f>
        <v>0</v>
      </c>
    </row>
    <row r="23" customFormat="false" ht="15" hidden="false" customHeight="true" outlineLevel="0" collapsed="false">
      <c r="B23" s="7" t="s">
        <v>213</v>
      </c>
      <c r="C23" s="24" t="n">
        <f aca="false">COUNTIF(G5:G17,"Non-compliant")</f>
        <v>9</v>
      </c>
    </row>
    <row r="25" customFormat="false" ht="15" hidden="false" customHeight="true" outlineLevel="0" collapsed="false">
      <c r="B25" s="6" t="s">
        <v>97</v>
      </c>
    </row>
    <row r="26" customFormat="false" ht="90" hidden="false" customHeight="true" outlineLevel="0" collapsed="false">
      <c r="B26" s="25" t="s">
        <v>214</v>
      </c>
      <c r="C26" s="25"/>
      <c r="D26" s="25"/>
      <c r="E26" s="25"/>
      <c r="F26" s="25"/>
      <c r="G26" s="25"/>
      <c r="H26" s="25"/>
    </row>
  </sheetData>
  <mergeCells count="1">
    <mergeCell ref="B26:H26"/>
  </mergeCells>
  <conditionalFormatting sqref="F5:G17">
    <cfRule type="cellIs" priority="2" operator="equal" aboveAverage="0" equalAverage="0" bottom="0" percent="0" rank="0" text="" dxfId="2">
      <formula>"Compliant"</formula>
    </cfRule>
    <cfRule type="cellIs" priority="3" operator="equal" aboveAverage="0" equalAverage="0" bottom="0" percent="0" rank="0" text="" dxfId="1">
      <formula>"Partial"</formula>
    </cfRule>
    <cfRule type="cellIs" priority="4" operator="equal" aboveAverage="0" equalAverage="0" bottom="0" percent="0" rank="0" text="" dxfId="0">
      <formula>"Non-compliant"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52"/>
    <col collapsed="false" customWidth="true" hidden="false" outlineLevel="0" max="4" min="4" style="0" width="42"/>
    <col collapsed="false" customWidth="true" hidden="false" outlineLevel="0" max="5" min="5" style="0" width="38"/>
    <col collapsed="false" customWidth="true" hidden="false" outlineLevel="0" max="6" min="6" style="0" width="18"/>
  </cols>
  <sheetData>
    <row r="1" customFormat="false" ht="17.35" hidden="false" customHeight="false" outlineLevel="0" collapsed="false">
      <c r="A1" s="26" t="s">
        <v>215</v>
      </c>
    </row>
    <row r="2" customFormat="false" ht="15" hidden="false" customHeight="false" outlineLevel="0" collapsed="false">
      <c r="A2" s="27" t="s">
        <v>216</v>
      </c>
    </row>
    <row r="4" customFormat="false" ht="24" hidden="false" customHeight="true" outlineLevel="0" collapsed="false">
      <c r="A4" s="14" t="s">
        <v>91</v>
      </c>
      <c r="B4" s="14" t="s">
        <v>217</v>
      </c>
      <c r="C4" s="14" t="s">
        <v>218</v>
      </c>
      <c r="D4" s="14" t="s">
        <v>219</v>
      </c>
      <c r="E4" s="14" t="s">
        <v>220</v>
      </c>
      <c r="F4" s="14" t="s">
        <v>221</v>
      </c>
    </row>
    <row r="5" customFormat="false" ht="61.5" hidden="false" customHeight="true" outlineLevel="0" collapsed="false">
      <c r="A5" s="15" t="s">
        <v>222</v>
      </c>
      <c r="B5" s="16" t="s">
        <v>223</v>
      </c>
      <c r="C5" s="16" t="s">
        <v>224</v>
      </c>
      <c r="D5" s="16" t="s">
        <v>225</v>
      </c>
      <c r="E5" s="16" t="s">
        <v>226</v>
      </c>
      <c r="F5" s="15" t="s">
        <v>227</v>
      </c>
    </row>
    <row r="6" customFormat="false" ht="61.5" hidden="false" customHeight="true" outlineLevel="0" collapsed="false">
      <c r="A6" s="15" t="s">
        <v>228</v>
      </c>
      <c r="B6" s="16" t="s">
        <v>229</v>
      </c>
      <c r="C6" s="16" t="s">
        <v>230</v>
      </c>
      <c r="D6" s="16" t="s">
        <v>231</v>
      </c>
      <c r="E6" s="16" t="s">
        <v>232</v>
      </c>
      <c r="F6" s="15" t="s">
        <v>227</v>
      </c>
    </row>
    <row r="7" customFormat="false" ht="61.5" hidden="false" customHeight="true" outlineLevel="0" collapsed="false">
      <c r="A7" s="15" t="s">
        <v>233</v>
      </c>
      <c r="B7" s="16" t="s">
        <v>234</v>
      </c>
      <c r="C7" s="16" t="s">
        <v>235</v>
      </c>
      <c r="D7" s="16" t="s">
        <v>236</v>
      </c>
      <c r="E7" s="16" t="s">
        <v>237</v>
      </c>
      <c r="F7" s="15" t="s">
        <v>227</v>
      </c>
    </row>
    <row r="8" customFormat="false" ht="61.5" hidden="false" customHeight="true" outlineLevel="0" collapsed="false">
      <c r="A8" s="15" t="s">
        <v>238</v>
      </c>
      <c r="B8" s="16" t="s">
        <v>239</v>
      </c>
      <c r="C8" s="16" t="s">
        <v>240</v>
      </c>
      <c r="D8" s="16" t="s">
        <v>241</v>
      </c>
      <c r="E8" s="16" t="s">
        <v>242</v>
      </c>
      <c r="F8" s="15" t="s">
        <v>227</v>
      </c>
    </row>
    <row r="9" customFormat="false" ht="61.5" hidden="false" customHeight="true" outlineLevel="0" collapsed="false">
      <c r="A9" s="15" t="s">
        <v>243</v>
      </c>
      <c r="B9" s="16" t="s">
        <v>244</v>
      </c>
      <c r="C9" s="16" t="s">
        <v>245</v>
      </c>
      <c r="D9" s="16" t="s">
        <v>246</v>
      </c>
      <c r="E9" s="16" t="s">
        <v>247</v>
      </c>
      <c r="F9" s="15" t="s">
        <v>227</v>
      </c>
    </row>
    <row r="10" customFormat="false" ht="61.5" hidden="false" customHeight="true" outlineLevel="0" collapsed="false">
      <c r="A10" s="15" t="s">
        <v>248</v>
      </c>
      <c r="B10" s="16" t="s">
        <v>249</v>
      </c>
      <c r="C10" s="16" t="s">
        <v>250</v>
      </c>
      <c r="D10" s="16" t="s">
        <v>251</v>
      </c>
      <c r="E10" s="16" t="s">
        <v>252</v>
      </c>
      <c r="F10" s="15" t="s">
        <v>227</v>
      </c>
    </row>
    <row r="11" customFormat="false" ht="61.5" hidden="false" customHeight="true" outlineLevel="0" collapsed="false">
      <c r="A11" s="15" t="s">
        <v>253</v>
      </c>
      <c r="B11" s="16" t="s">
        <v>254</v>
      </c>
      <c r="C11" s="16" t="s">
        <v>255</v>
      </c>
      <c r="D11" s="16" t="s">
        <v>256</v>
      </c>
      <c r="E11" s="16" t="s">
        <v>257</v>
      </c>
      <c r="F11" s="15" t="s">
        <v>227</v>
      </c>
    </row>
    <row r="12" customFormat="false" ht="61.5" hidden="false" customHeight="true" outlineLevel="0" collapsed="false">
      <c r="A12" s="15" t="s">
        <v>258</v>
      </c>
      <c r="B12" s="16" t="s">
        <v>259</v>
      </c>
      <c r="C12" s="16" t="s">
        <v>260</v>
      </c>
      <c r="D12" s="16" t="s">
        <v>261</v>
      </c>
      <c r="E12" s="16" t="s">
        <v>262</v>
      </c>
      <c r="F12" s="15" t="s">
        <v>227</v>
      </c>
    </row>
    <row r="13" customFormat="false" ht="61.5" hidden="false" customHeight="true" outlineLevel="0" collapsed="false">
      <c r="A13" s="15" t="s">
        <v>263</v>
      </c>
      <c r="B13" s="16" t="s">
        <v>264</v>
      </c>
      <c r="C13" s="16" t="s">
        <v>265</v>
      </c>
      <c r="D13" s="16" t="s">
        <v>266</v>
      </c>
      <c r="E13" s="16" t="s">
        <v>267</v>
      </c>
      <c r="F13" s="15" t="s">
        <v>227</v>
      </c>
    </row>
  </sheetData>
  <conditionalFormatting sqref="F5:F13">
    <cfRule type="cellIs" priority="2" operator="equal" aboveAverage="0" equalAverage="0" bottom="0" percent="0" rank="0" text="" dxfId="3">
      <formula>"Pass"</formula>
    </cfRule>
    <cfRule type="cellIs" priority="3" operator="equal" aboveAverage="0" equalAverage="0" bottom="0" percent="0" rank="0" text="" dxfId="4">
      <formula>"Fail"</formula>
    </cfRule>
  </conditionalFormatting>
  <dataValidations count="1">
    <dataValidation allowBlank="false" errorStyle="stop" operator="between" showDropDown="false" showErrorMessage="true" showInputMessage="false" sqref="F5:F13" type="list">
      <formula1>"Pass,Fail,Not yet tested"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2026-09-28T05:16:24Z</dcterms:created>
  <dc:creator>openpyxl</dc:creator>
  <dc:description/>
  <dc:language>en-US</dc:language>
  <cp:lastModifiedBy/>
  <dcterms:modified xsi:type="dcterms:W3CDTF">2026-09-29T14:15:21Z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